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ymOpVSa+/7t0O+K9uP9Dme9u814g0+pthiejL653cXI="/>
    </ext>
  </extLst>
</workbook>
</file>

<file path=xl/sharedStrings.xml><?xml version="1.0" encoding="utf-8"?>
<sst xmlns="http://schemas.openxmlformats.org/spreadsheetml/2006/main" count="383" uniqueCount="174">
  <si>
    <t>ville</t>
  </si>
  <si>
    <t>nOR ID</t>
  </si>
  <si>
    <t>Identifiant</t>
  </si>
  <si>
    <t>Date de naissance</t>
  </si>
  <si>
    <t>Date d'entrée</t>
  </si>
  <si>
    <t>Date de sortie</t>
  </si>
  <si>
    <t>date d'opération</t>
  </si>
  <si>
    <t>AGE à l'intervention</t>
  </si>
  <si>
    <t>age(0&lt;70;1&gt;70)</t>
  </si>
  <si>
    <t>Durée hospit</t>
  </si>
  <si>
    <t>sexe(F=1;M=0)</t>
  </si>
  <si>
    <t>poids</t>
  </si>
  <si>
    <t>taille</t>
  </si>
  <si>
    <t>BMI</t>
  </si>
  <si>
    <t>ASA</t>
  </si>
  <si>
    <t>Antécédent médicaux</t>
  </si>
  <si>
    <t>heure incision</t>
  </si>
  <si>
    <t>heure fermeture</t>
  </si>
  <si>
    <t>durée op</t>
  </si>
  <si>
    <t>durée min</t>
  </si>
  <si>
    <t>TTT Néoadjuvant (1=oui;0=non)</t>
  </si>
  <si>
    <t>ré op  (oui=1)</t>
  </si>
  <si>
    <t>cause ré op</t>
  </si>
  <si>
    <t>anapath : ampullome, adenocarcinome, TIPMP</t>
  </si>
  <si>
    <t>localisation</t>
  </si>
  <si>
    <t>adenok(N=0)</t>
  </si>
  <si>
    <t>BENIN (OUI=O;1=chol;2=pan;3=ampu;4=endo;5=duo;6=autre)</t>
  </si>
  <si>
    <t>autres</t>
  </si>
  <si>
    <t>si adenocarcinome : type</t>
  </si>
  <si>
    <t>site du M1 0=gg interAoCav;1=CP;2=MH</t>
  </si>
  <si>
    <t>stade tumoral</t>
  </si>
  <si>
    <t>si adenocarcinome : r</t>
  </si>
  <si>
    <t>SITE r1</t>
  </si>
  <si>
    <t>picking inter Aocave(0=non;1=oui)</t>
  </si>
  <si>
    <t>nb gg inter Ao cave</t>
  </si>
  <si>
    <t>Nombre de ganglions envahis</t>
  </si>
  <si>
    <t>Nombre de ganglion observés</t>
  </si>
  <si>
    <t>ratiogg+/gg</t>
  </si>
  <si>
    <t>GG+ (0=0;1=&lt;0,2;2=&gt;0,2)</t>
  </si>
  <si>
    <t>Embol peri-nerveux  (oui=1)</t>
  </si>
  <si>
    <t>Echo endo pré op  (oui=1)</t>
  </si>
  <si>
    <t>scanner pré op  (oui=1)</t>
  </si>
  <si>
    <t>diagnostique scanner</t>
  </si>
  <si>
    <t>taux de bilirubine préop</t>
  </si>
  <si>
    <t>taux d'hémoglobine pré op</t>
  </si>
  <si>
    <t>marqueur tumoraux preop (ca 19,9)</t>
  </si>
  <si>
    <t>marqueur tumoraux postop (ca 19,9)</t>
  </si>
  <si>
    <t>déces en hospit  (oui=1)</t>
  </si>
  <si>
    <t>chimio1 / radio2 / radio chimio3</t>
  </si>
  <si>
    <t>Type chimio 1 er ttt</t>
  </si>
  <si>
    <t>en vie jusqu'au</t>
  </si>
  <si>
    <t>RLR=1,métaH=2;métaP=3;CP=0</t>
  </si>
  <si>
    <t>date RLR</t>
  </si>
  <si>
    <t>delai redux</t>
  </si>
  <si>
    <t>TT RLR(0=soin p,1=CT,2=RTCT,chir=3</t>
  </si>
  <si>
    <t>deces suivi connu  (oui=1)</t>
  </si>
  <si>
    <t xml:space="preserve">décès le </t>
  </si>
  <si>
    <t>cause du décès</t>
  </si>
  <si>
    <t>Durée du suivie</t>
  </si>
  <si>
    <t>Nantes</t>
  </si>
  <si>
    <t>DA FONSECA José</t>
  </si>
  <si>
    <t>HIV, HépatiteC guerie</t>
  </si>
  <si>
    <t>,</t>
  </si>
  <si>
    <t>adk tete</t>
  </si>
  <si>
    <t>pancreas</t>
  </si>
  <si>
    <t>panin ht grade</t>
  </si>
  <si>
    <t>adk</t>
  </si>
  <si>
    <t>2b</t>
  </si>
  <si>
    <t>ampulome</t>
  </si>
  <si>
    <t>ACE=2,4;CA19,9=100</t>
  </si>
  <si>
    <t>CA19,9=12</t>
  </si>
  <si>
    <t>folfirinox</t>
  </si>
  <si>
    <t>GANDON Sylvie</t>
  </si>
  <si>
    <t>tabac sevre en 2012</t>
  </si>
  <si>
    <t>1 (folfirinox 6 cures)</t>
  </si>
  <si>
    <t>infiltration graisse peripancreatique,embollymphatique et veineux</t>
  </si>
  <si>
    <t>duodenal</t>
  </si>
  <si>
    <t>adk borderline</t>
  </si>
  <si>
    <t>CA19,9=40</t>
  </si>
  <si>
    <t>0+3</t>
  </si>
  <si>
    <t>aeg</t>
  </si>
  <si>
    <t>GUILLAUME Eric</t>
  </si>
  <si>
    <t>tabac, dysthyroidie, TGO, R Aortique</t>
  </si>
  <si>
    <t>adk contingent cell idpdtes &lt;10%embol lymph et nerveux et vx</t>
  </si>
  <si>
    <t>ACE=2,5;CA19,9=71</t>
  </si>
  <si>
    <t>ACE=2;CA19,9=61,</t>
  </si>
  <si>
    <t>LERAY Arnaud</t>
  </si>
  <si>
    <t>SPÄ HlA B27, sous humira, Hemiparesie droite resolutive</t>
  </si>
  <si>
    <t>adk adenosquameux</t>
  </si>
  <si>
    <t>CA19,9=49</t>
  </si>
  <si>
    <t>ACE=1,7;CA19,9=46</t>
  </si>
  <si>
    <t>1(gem)</t>
  </si>
  <si>
    <t>VERGNEAU Catherine</t>
  </si>
  <si>
    <t>tabac 10PA, kyste ovarien</t>
  </si>
  <si>
    <t>adk canalaire infiltrant r1 sur recoupe pancreas par engainement filet nerveux</t>
  </si>
  <si>
    <t>adk canalaire infiltrant</t>
  </si>
  <si>
    <t>pancreas engainement filets nx</t>
  </si>
  <si>
    <t>ACE=2,43;CA19,9=89,1</t>
  </si>
  <si>
    <t>ROBERT Bernard</t>
  </si>
  <si>
    <t>acfa, flutter, stenose tc, carcinome orl</t>
  </si>
  <si>
    <t>VMS</t>
  </si>
  <si>
    <t>ACE=1,6;CA19,9=64,4</t>
  </si>
  <si>
    <t>2+0</t>
  </si>
  <si>
    <t>1 (gem)</t>
  </si>
  <si>
    <t>GAUTIER Viviane</t>
  </si>
  <si>
    <t>ictus amnesique 2018; cystite, angiocholite</t>
  </si>
  <si>
    <t>adk/tipmp</t>
  </si>
  <si>
    <t>ck20,CDX2, MUC2+, MUC5AC Dog1+sur adk, pcc, LV0,IFN0</t>
  </si>
  <si>
    <t>1a</t>
  </si>
  <si>
    <t>stenose VBP</t>
  </si>
  <si>
    <t>ACE=3,6;CA19,9=77</t>
  </si>
  <si>
    <t>CA19,9=56</t>
  </si>
  <si>
    <t>CLEQUIN Martine</t>
  </si>
  <si>
    <t>iu d'efforet, nevralgie pudendale,kt retro</t>
  </si>
  <si>
    <t>adk pancreas</t>
  </si>
  <si>
    <t>adk sur panin de 1à3 canaux secondaires, recoupe panin 1b, pc</t>
  </si>
  <si>
    <t>ACE=1,2;CA19,9=77</t>
  </si>
  <si>
    <t>ADJAL Allel</t>
  </si>
  <si>
    <t>adk rectum, myxofibrosarcome cuisse, gastrite hp</t>
  </si>
  <si>
    <t>gastrite chronique sans hp, nbeux embol et angioinv, env de adventice et musculeuse portale</t>
  </si>
  <si>
    <t>ACE=2,5;CA19,9=319</t>
  </si>
  <si>
    <t>1+0</t>
  </si>
  <si>
    <t>AEG,</t>
  </si>
  <si>
    <t>MORINIERE Jean</t>
  </si>
  <si>
    <t>RGO,Prostatite, thrombopenie, lymphopenie</t>
  </si>
  <si>
    <t>adk canalaire, embol perinx</t>
  </si>
  <si>
    <t>VP</t>
  </si>
  <si>
    <t>CA19,9=107</t>
  </si>
  <si>
    <t>CA19,9=10,3; ACE=2</t>
  </si>
  <si>
    <t>CAILLON Nathalie</t>
  </si>
  <si>
    <t>BPCO post tabac, SAS, Obesité, HTA</t>
  </si>
  <si>
    <t>TIPMP degenere</t>
  </si>
  <si>
    <t>ADK sur TIPMP mixte gastrique et intestinal, LV1, IFN1</t>
  </si>
  <si>
    <t>posterieur panc</t>
  </si>
  <si>
    <t>ACE=2,8;CA19,9=60</t>
  </si>
  <si>
    <t>CA19,9=16,7</t>
  </si>
  <si>
    <t>PELATAN Rene</t>
  </si>
  <si>
    <t>HTA, arthrose genoux</t>
  </si>
  <si>
    <t>adk bien diff, LV1,IFN1,pas expression prot reparation</t>
  </si>
  <si>
    <t>ACE=2,7;CA19,9=199</t>
  </si>
  <si>
    <t>ACE=5,1;CA19,9=7</t>
  </si>
  <si>
    <t>choc septique, ischemie digestive</t>
  </si>
  <si>
    <t>SAINT-LO Virginie</t>
  </si>
  <si>
    <t>PA lithiasique, LVBP</t>
  </si>
  <si>
    <t>adk bien diff, MLH1,MSH2,MSH6, PMS2 70-80% pas de pertes exp prot reparation</t>
  </si>
  <si>
    <t>VMS=0,06cm, embol nx choledoque</t>
  </si>
  <si>
    <t>ACE=0,9;CA19,9=44</t>
  </si>
  <si>
    <t>ACE=1;CA19,9=5</t>
  </si>
  <si>
    <t>TABTI Mustapha</t>
  </si>
  <si>
    <t>DNID, Fx de Kent asympto, hypercholesterol, ulcére</t>
  </si>
  <si>
    <t>1(folfirinox 9 cures)</t>
  </si>
  <si>
    <t>adk pancreas border</t>
  </si>
  <si>
    <t>adkmoy diff, engainementperi nx et embol lymph, contact VMS, TRG4</t>
  </si>
  <si>
    <t>ACE=1,7;CA19,9=199</t>
  </si>
  <si>
    <t>ACE=1,85; CA19,9=27,6</t>
  </si>
  <si>
    <t>AZAIS Anita</t>
  </si>
  <si>
    <t>BPCO severe, tabac 45PA, DNID, inf HP</t>
  </si>
  <si>
    <t>1(folfirinox)</t>
  </si>
  <si>
    <t>adk peu diff morpho mixte tubuleux bague a chaton rhabdoide, panin grade 1, embol perinerveux, pas vscu</t>
  </si>
  <si>
    <t>vp</t>
  </si>
  <si>
    <t>Ca19,9=114</t>
  </si>
  <si>
    <t xml:space="preserve">CA19,9=9 </t>
  </si>
  <si>
    <t>DURASSIER Alain</t>
  </si>
  <si>
    <t>HTA, DNID, FA(xarelto), IRC</t>
  </si>
  <si>
    <t>1 (8 cures folfirinox)</t>
  </si>
  <si>
    <t>adk tubuleux, TRG5 pas de reponse</t>
  </si>
  <si>
    <t>lit VP</t>
  </si>
  <si>
    <t>CA19,9=79,7</t>
  </si>
  <si>
    <t>THIBAULT Jean</t>
  </si>
  <si>
    <t>HTA, EP, tabac sevre, hyperuricemie, oh</t>
  </si>
  <si>
    <t>1(12 cures folfirinox)</t>
  </si>
  <si>
    <t>carcinome indiff cellule geante pseudo osteoclasique</t>
  </si>
  <si>
    <t xml:space="preserve">carcinome </t>
  </si>
  <si>
    <t>ACE=2;CA19,9=140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</si>
</sst>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3366FF"/>
      <name val="Arial"/>
    </font>
    <font>
      <b/>
      <sz val="10.0"/>
      <color rgb="FF0000FF"/>
      <name val="Arial"/>
    </font>
    <font>
      <sz val="9.0"/>
      <color theme="1"/>
      <name val="Arial"/>
    </font>
    <font>
      <sz val="11.0"/>
      <color theme="1"/>
      <name val="Calibri"/>
    </font>
    <font>
      <sz val="10.0"/>
      <color rgb="FF3366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1" numFmtId="2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2" xfId="0" applyAlignment="1" applyBorder="1" applyFont="1" applyNumberFormat="1">
      <alignment horizontal="center" shrinkToFit="0" wrapText="1"/>
    </xf>
    <xf borderId="1" fillId="0" fontId="1" numFmtId="20" xfId="0" applyAlignment="1" applyBorder="1" applyFont="1" applyNumberFormat="1">
      <alignment horizontal="center" shrinkToFit="0" wrapText="1"/>
    </xf>
    <xf borderId="1" fillId="0" fontId="2" numFmtId="20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3" fontId="1" numFmtId="164" xfId="0" applyAlignment="1" applyBorder="1" applyFill="1" applyFont="1" applyNumberFormat="1">
      <alignment horizontal="center" shrinkToFit="0" wrapText="1"/>
    </xf>
    <xf borderId="1" fillId="4" fontId="4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/>
    </xf>
    <xf borderId="1" fillId="4" fontId="5" numFmtId="164" xfId="0" applyAlignment="1" applyBorder="1" applyFont="1" applyNumberFormat="1">
      <alignment horizontal="center"/>
    </xf>
    <xf borderId="1" fillId="4" fontId="6" numFmtId="0" xfId="0" applyAlignment="1" applyBorder="1" applyFont="1">
      <alignment horizontal="center"/>
    </xf>
    <xf borderId="1" fillId="4" fontId="5" numFmtId="20" xfId="0" applyAlignment="1" applyBorder="1" applyFont="1" applyNumberFormat="1">
      <alignment horizontal="center"/>
    </xf>
    <xf borderId="1" fillId="4" fontId="6" numFmtId="2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9" width="10.71"/>
  </cols>
  <sheetData>
    <row r="1" ht="50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7" t="s">
        <v>16</v>
      </c>
      <c r="R1" s="7" t="s">
        <v>17</v>
      </c>
      <c r="S1" s="8" t="s">
        <v>18</v>
      </c>
      <c r="T1" s="5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9" t="s">
        <v>25</v>
      </c>
      <c r="AA1" s="9" t="s">
        <v>26</v>
      </c>
      <c r="AB1" s="9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0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1" t="s">
        <v>55</v>
      </c>
      <c r="BE1" s="3" t="s">
        <v>56</v>
      </c>
      <c r="BF1" s="1" t="s">
        <v>57</v>
      </c>
      <c r="BG1" s="5" t="s">
        <v>58</v>
      </c>
    </row>
    <row r="2" ht="15.75" customHeight="1">
      <c r="A2" s="11" t="s">
        <v>59</v>
      </c>
      <c r="B2" s="12" t="s">
        <v>60</v>
      </c>
      <c r="C2" s="12">
        <v>3250810.0</v>
      </c>
      <c r="D2" s="13">
        <v>23587.0</v>
      </c>
      <c r="E2" s="13">
        <v>44588.0</v>
      </c>
      <c r="F2" s="13">
        <v>44600.0</v>
      </c>
      <c r="G2" s="13">
        <v>44589.0</v>
      </c>
      <c r="H2" s="12">
        <f t="shared" ref="H2:H18" si="1">(G2-D2)/365</f>
        <v>57.53972603</v>
      </c>
      <c r="I2" s="12">
        <v>0.0</v>
      </c>
      <c r="J2" s="12">
        <f t="shared" ref="J2:J18" si="2">F2-E2</f>
        <v>12</v>
      </c>
      <c r="K2" s="12">
        <v>0.0</v>
      </c>
      <c r="L2" s="12">
        <v>74.0</v>
      </c>
      <c r="M2" s="12">
        <v>1.78</v>
      </c>
      <c r="N2" s="14">
        <f t="shared" ref="N2:N18" si="3">L2/(M2*M2)</f>
        <v>23.35563691</v>
      </c>
      <c r="O2" s="12">
        <v>2.0</v>
      </c>
      <c r="P2" s="12" t="s">
        <v>61</v>
      </c>
      <c r="Q2" s="15">
        <v>0.5861111111111111</v>
      </c>
      <c r="R2" s="15">
        <v>0.75</v>
      </c>
      <c r="S2" s="16">
        <f t="shared" ref="S2:S18" si="4">R2-Q2</f>
        <v>0.1638888889</v>
      </c>
      <c r="T2" s="15">
        <f t="shared" ref="T2:T18" si="5">S2*1440</f>
        <v>236</v>
      </c>
      <c r="U2" s="12">
        <v>0.0</v>
      </c>
      <c r="V2" s="12">
        <v>0.0</v>
      </c>
      <c r="W2" s="12" t="s">
        <v>62</v>
      </c>
      <c r="X2" s="12" t="s">
        <v>63</v>
      </c>
      <c r="Y2" s="12" t="s">
        <v>64</v>
      </c>
      <c r="Z2" s="12">
        <v>1.0</v>
      </c>
      <c r="AA2" s="12">
        <v>2.0</v>
      </c>
      <c r="AB2" s="12" t="s">
        <v>65</v>
      </c>
      <c r="AC2" s="12" t="s">
        <v>66</v>
      </c>
      <c r="AD2" s="12" t="s">
        <v>62</v>
      </c>
      <c r="AE2" s="12" t="s">
        <v>67</v>
      </c>
      <c r="AF2" s="12">
        <v>0.0</v>
      </c>
      <c r="AG2" s="12" t="s">
        <v>62</v>
      </c>
      <c r="AH2" s="12">
        <v>0.0</v>
      </c>
      <c r="AI2" s="12" t="s">
        <v>62</v>
      </c>
      <c r="AJ2" s="12">
        <v>4.0</v>
      </c>
      <c r="AK2" s="12">
        <v>18.0</v>
      </c>
      <c r="AL2" s="12">
        <f t="shared" ref="AL2:AL18" si="6">AJ2/AK2</f>
        <v>0.2222222222</v>
      </c>
      <c r="AM2" s="12">
        <v>1.0</v>
      </c>
      <c r="AN2" s="12">
        <v>1.0</v>
      </c>
      <c r="AO2" s="12">
        <v>1.0</v>
      </c>
      <c r="AP2" s="12">
        <v>1.0</v>
      </c>
      <c r="AQ2" s="12" t="s">
        <v>68</v>
      </c>
      <c r="AR2" s="12">
        <v>33.0</v>
      </c>
      <c r="AS2" s="12">
        <v>14.6</v>
      </c>
      <c r="AT2" s="12" t="s">
        <v>69</v>
      </c>
      <c r="AU2" s="12" t="s">
        <v>70</v>
      </c>
      <c r="AV2" s="12">
        <v>0.0</v>
      </c>
      <c r="AW2" s="12">
        <v>1.0</v>
      </c>
      <c r="AX2" s="12" t="s">
        <v>71</v>
      </c>
      <c r="AY2" s="13">
        <v>45374.0</v>
      </c>
      <c r="AZ2" s="12" t="s">
        <v>62</v>
      </c>
      <c r="BA2" s="12" t="s">
        <v>62</v>
      </c>
      <c r="BB2" s="13" t="str">
        <f t="shared" ref="BB2:BB16" si="7">BA2-G2</f>
        <v>#VALUE!</v>
      </c>
      <c r="BC2" s="12" t="s">
        <v>62</v>
      </c>
      <c r="BD2" s="12">
        <v>0.0</v>
      </c>
      <c r="BE2" s="12" t="s">
        <v>62</v>
      </c>
      <c r="BF2" s="12" t="s">
        <v>62</v>
      </c>
      <c r="BG2" s="12">
        <f t="shared" ref="BG2:BG18" si="8">AY2-E2</f>
        <v>786</v>
      </c>
    </row>
    <row r="3" ht="15.75" customHeight="1">
      <c r="A3" s="11" t="s">
        <v>59</v>
      </c>
      <c r="B3" s="12" t="s">
        <v>72</v>
      </c>
      <c r="C3" s="12">
        <v>2.9439844E7</v>
      </c>
      <c r="D3" s="13">
        <v>23000.0</v>
      </c>
      <c r="E3" s="13">
        <v>44676.0</v>
      </c>
      <c r="F3" s="13">
        <v>44693.0</v>
      </c>
      <c r="G3" s="13">
        <v>44677.0</v>
      </c>
      <c r="H3" s="12">
        <f t="shared" si="1"/>
        <v>59.3890411</v>
      </c>
      <c r="I3" s="12">
        <v>0.0</v>
      </c>
      <c r="J3" s="12">
        <f t="shared" si="2"/>
        <v>17</v>
      </c>
      <c r="K3" s="12">
        <v>1.0</v>
      </c>
      <c r="L3" s="12">
        <v>56.0</v>
      </c>
      <c r="M3" s="12">
        <v>1.59</v>
      </c>
      <c r="N3" s="14">
        <f t="shared" si="3"/>
        <v>22.15102251</v>
      </c>
      <c r="O3" s="12">
        <v>1.0</v>
      </c>
      <c r="P3" s="12" t="s">
        <v>73</v>
      </c>
      <c r="Q3" s="15">
        <v>0.41041666666666665</v>
      </c>
      <c r="R3" s="15">
        <v>0.6041666666666666</v>
      </c>
      <c r="S3" s="16">
        <f t="shared" si="4"/>
        <v>0.19375</v>
      </c>
      <c r="T3" s="15">
        <f t="shared" si="5"/>
        <v>279</v>
      </c>
      <c r="U3" s="12" t="s">
        <v>74</v>
      </c>
      <c r="V3" s="12">
        <v>0.0</v>
      </c>
      <c r="W3" s="12" t="s">
        <v>62</v>
      </c>
      <c r="X3" s="12" t="s">
        <v>66</v>
      </c>
      <c r="Y3" s="12" t="s">
        <v>64</v>
      </c>
      <c r="Z3" s="12">
        <v>1.0</v>
      </c>
      <c r="AA3" s="12">
        <v>2.0</v>
      </c>
      <c r="AB3" s="12" t="s">
        <v>75</v>
      </c>
      <c r="AC3" s="12" t="s">
        <v>66</v>
      </c>
      <c r="AD3" s="12" t="s">
        <v>76</v>
      </c>
      <c r="AE3" s="12">
        <v>4.0</v>
      </c>
      <c r="AF3" s="12">
        <v>0.0</v>
      </c>
      <c r="AG3" s="12" t="s">
        <v>62</v>
      </c>
      <c r="AH3" s="12">
        <v>1.0</v>
      </c>
      <c r="AI3" s="12">
        <v>2.0</v>
      </c>
      <c r="AJ3" s="12">
        <v>3.0</v>
      </c>
      <c r="AK3" s="12">
        <v>32.0</v>
      </c>
      <c r="AL3" s="12">
        <f t="shared" si="6"/>
        <v>0.09375</v>
      </c>
      <c r="AM3" s="12">
        <v>1.0</v>
      </c>
      <c r="AN3" s="12">
        <v>1.0</v>
      </c>
      <c r="AO3" s="12">
        <v>1.0</v>
      </c>
      <c r="AP3" s="12">
        <v>1.0</v>
      </c>
      <c r="AQ3" s="12" t="s">
        <v>77</v>
      </c>
      <c r="AR3" s="12" t="s">
        <v>62</v>
      </c>
      <c r="AS3" s="12">
        <v>14.4</v>
      </c>
      <c r="AT3" s="12" t="s">
        <v>78</v>
      </c>
      <c r="AU3" s="12"/>
      <c r="AV3" s="12">
        <v>0.0</v>
      </c>
      <c r="AW3" s="12">
        <v>1.0</v>
      </c>
      <c r="AX3" s="12" t="s">
        <v>71</v>
      </c>
      <c r="AY3" s="13">
        <v>44935.0</v>
      </c>
      <c r="AZ3" s="12" t="s">
        <v>79</v>
      </c>
      <c r="BA3" s="13">
        <v>44911.0</v>
      </c>
      <c r="BB3" s="12">
        <f t="shared" si="7"/>
        <v>234</v>
      </c>
      <c r="BC3" s="12">
        <v>0.0</v>
      </c>
      <c r="BD3" s="12">
        <v>1.0</v>
      </c>
      <c r="BE3" s="13">
        <v>44939.0</v>
      </c>
      <c r="BF3" s="12" t="s">
        <v>80</v>
      </c>
      <c r="BG3" s="12">
        <f t="shared" si="8"/>
        <v>259</v>
      </c>
    </row>
    <row r="4" ht="15.75" customHeight="1">
      <c r="A4" s="11" t="s">
        <v>59</v>
      </c>
      <c r="B4" s="12" t="s">
        <v>81</v>
      </c>
      <c r="C4" s="12">
        <v>1.0520335E7</v>
      </c>
      <c r="D4" s="13">
        <v>23981.0</v>
      </c>
      <c r="E4" s="13">
        <v>44837.0</v>
      </c>
      <c r="F4" s="13">
        <v>44846.0</v>
      </c>
      <c r="G4" s="13">
        <v>44838.0</v>
      </c>
      <c r="H4" s="12">
        <f t="shared" si="1"/>
        <v>57.14246575</v>
      </c>
      <c r="I4" s="12">
        <v>0.0</v>
      </c>
      <c r="J4" s="12">
        <f t="shared" si="2"/>
        <v>9</v>
      </c>
      <c r="K4" s="12">
        <v>0.0</v>
      </c>
      <c r="L4" s="12">
        <v>80.0</v>
      </c>
      <c r="M4" s="12">
        <v>1.82</v>
      </c>
      <c r="N4" s="14">
        <f t="shared" si="3"/>
        <v>24.1516725</v>
      </c>
      <c r="O4" s="12">
        <v>3.0</v>
      </c>
      <c r="P4" s="12" t="s">
        <v>82</v>
      </c>
      <c r="Q4" s="15">
        <v>0.5625</v>
      </c>
      <c r="R4" s="15">
        <v>0.7729166666666667</v>
      </c>
      <c r="S4" s="16">
        <f t="shared" si="4"/>
        <v>0.2104166667</v>
      </c>
      <c r="T4" s="15">
        <f t="shared" si="5"/>
        <v>303</v>
      </c>
      <c r="U4" s="12">
        <v>0.0</v>
      </c>
      <c r="V4" s="12">
        <v>0.0</v>
      </c>
      <c r="W4" s="12" t="s">
        <v>62</v>
      </c>
      <c r="X4" s="12" t="s">
        <v>63</v>
      </c>
      <c r="Y4" s="12" t="s">
        <v>64</v>
      </c>
      <c r="Z4" s="12">
        <v>1.0</v>
      </c>
      <c r="AA4" s="12">
        <v>2.0</v>
      </c>
      <c r="AB4" s="12" t="s">
        <v>83</v>
      </c>
      <c r="AC4" s="12" t="s">
        <v>66</v>
      </c>
      <c r="AD4" s="12" t="s">
        <v>62</v>
      </c>
      <c r="AE4" s="12" t="s">
        <v>67</v>
      </c>
      <c r="AF4" s="12">
        <v>0.0</v>
      </c>
      <c r="AG4" s="12" t="s">
        <v>62</v>
      </c>
      <c r="AH4" s="12">
        <v>1.0</v>
      </c>
      <c r="AI4" s="12">
        <v>11.0</v>
      </c>
      <c r="AJ4" s="12">
        <v>2.0</v>
      </c>
      <c r="AK4" s="12">
        <v>47.0</v>
      </c>
      <c r="AL4" s="12">
        <f t="shared" si="6"/>
        <v>0.04255319149</v>
      </c>
      <c r="AM4" s="12">
        <v>1.0</v>
      </c>
      <c r="AN4" s="12">
        <v>1.0</v>
      </c>
      <c r="AO4" s="12">
        <v>1.0</v>
      </c>
      <c r="AP4" s="12">
        <v>1.0</v>
      </c>
      <c r="AQ4" s="12" t="s">
        <v>63</v>
      </c>
      <c r="AR4" s="12" t="s">
        <v>62</v>
      </c>
      <c r="AS4" s="12">
        <v>13.6</v>
      </c>
      <c r="AT4" s="12" t="s">
        <v>84</v>
      </c>
      <c r="AU4" s="12" t="s">
        <v>85</v>
      </c>
      <c r="AV4" s="12">
        <v>0.0</v>
      </c>
      <c r="AW4" s="12" t="s">
        <v>62</v>
      </c>
      <c r="AX4" s="12" t="s">
        <v>62</v>
      </c>
      <c r="AY4" s="13">
        <v>45376.0</v>
      </c>
      <c r="AZ4" s="12" t="s">
        <v>62</v>
      </c>
      <c r="BA4" s="12" t="s">
        <v>62</v>
      </c>
      <c r="BB4" s="13" t="str">
        <f t="shared" si="7"/>
        <v>#VALUE!</v>
      </c>
      <c r="BC4" s="12" t="s">
        <v>62</v>
      </c>
      <c r="BD4" s="12">
        <v>0.0</v>
      </c>
      <c r="BE4" s="12" t="s">
        <v>62</v>
      </c>
      <c r="BF4" s="12" t="s">
        <v>62</v>
      </c>
      <c r="BG4" s="12">
        <f t="shared" si="8"/>
        <v>539</v>
      </c>
    </row>
    <row r="5">
      <c r="A5" s="11" t="s">
        <v>59</v>
      </c>
      <c r="B5" s="12" t="s">
        <v>86</v>
      </c>
      <c r="C5" s="12">
        <v>5.00000989E8</v>
      </c>
      <c r="D5" s="13">
        <v>29394.0</v>
      </c>
      <c r="E5" s="13">
        <v>44879.0</v>
      </c>
      <c r="F5" s="13">
        <v>44906.0</v>
      </c>
      <c r="G5" s="13">
        <v>44880.0</v>
      </c>
      <c r="H5" s="12">
        <f t="shared" si="1"/>
        <v>42.42739726</v>
      </c>
      <c r="I5" s="12">
        <v>0.0</v>
      </c>
      <c r="J5" s="12">
        <f t="shared" si="2"/>
        <v>27</v>
      </c>
      <c r="K5" s="12">
        <v>0.0</v>
      </c>
      <c r="L5" s="12">
        <v>75.0</v>
      </c>
      <c r="M5" s="12">
        <v>1.78</v>
      </c>
      <c r="N5" s="14">
        <f t="shared" si="3"/>
        <v>23.67125363</v>
      </c>
      <c r="O5" s="12">
        <v>2.0</v>
      </c>
      <c r="P5" s="12" t="s">
        <v>87</v>
      </c>
      <c r="Q5" s="15">
        <v>0.43124999999999997</v>
      </c>
      <c r="R5" s="15">
        <v>0.61875</v>
      </c>
      <c r="S5" s="16">
        <f t="shared" si="4"/>
        <v>0.1875</v>
      </c>
      <c r="T5" s="15">
        <f t="shared" si="5"/>
        <v>270</v>
      </c>
      <c r="U5" s="12">
        <v>0.0</v>
      </c>
      <c r="V5" s="12">
        <v>0.0</v>
      </c>
      <c r="W5" s="12" t="s">
        <v>62</v>
      </c>
      <c r="X5" s="12" t="s">
        <v>63</v>
      </c>
      <c r="Y5" s="12" t="s">
        <v>64</v>
      </c>
      <c r="Z5" s="12">
        <v>1.0</v>
      </c>
      <c r="AA5" s="12">
        <v>2.0</v>
      </c>
      <c r="AB5" s="12" t="s">
        <v>88</v>
      </c>
      <c r="AC5" s="12" t="s">
        <v>88</v>
      </c>
      <c r="AD5" s="12" t="s">
        <v>62</v>
      </c>
      <c r="AE5" s="12">
        <v>3.0</v>
      </c>
      <c r="AF5" s="12">
        <v>0.0</v>
      </c>
      <c r="AG5" s="12" t="s">
        <v>62</v>
      </c>
      <c r="AH5" s="12">
        <v>1.0</v>
      </c>
      <c r="AI5" s="12">
        <v>11.0</v>
      </c>
      <c r="AJ5" s="12">
        <v>5.0</v>
      </c>
      <c r="AK5" s="12">
        <v>30.0</v>
      </c>
      <c r="AL5" s="12">
        <f t="shared" si="6"/>
        <v>0.1666666667</v>
      </c>
      <c r="AM5" s="12">
        <v>1.0</v>
      </c>
      <c r="AN5" s="12">
        <v>1.0</v>
      </c>
      <c r="AO5" s="12">
        <v>1.0</v>
      </c>
      <c r="AP5" s="12">
        <v>1.0</v>
      </c>
      <c r="AQ5" s="12" t="s">
        <v>63</v>
      </c>
      <c r="AR5" s="12">
        <v>66.0</v>
      </c>
      <c r="AS5" s="12">
        <v>13.8</v>
      </c>
      <c r="AT5" s="12" t="s">
        <v>89</v>
      </c>
      <c r="AU5" s="12" t="s">
        <v>90</v>
      </c>
      <c r="AV5" s="12">
        <v>0.0</v>
      </c>
      <c r="AW5" s="12">
        <v>1.0</v>
      </c>
      <c r="AX5" s="12" t="s">
        <v>71</v>
      </c>
      <c r="AY5" s="13">
        <v>45357.0</v>
      </c>
      <c r="AZ5" s="12">
        <v>2.0</v>
      </c>
      <c r="BA5" s="13">
        <v>45268.0</v>
      </c>
      <c r="BB5" s="12">
        <f t="shared" si="7"/>
        <v>388</v>
      </c>
      <c r="BC5" s="12" t="s">
        <v>91</v>
      </c>
      <c r="BD5" s="12">
        <v>0.0</v>
      </c>
      <c r="BE5" s="12" t="s">
        <v>62</v>
      </c>
      <c r="BF5" s="12" t="s">
        <v>62</v>
      </c>
      <c r="BG5" s="12">
        <f t="shared" si="8"/>
        <v>478</v>
      </c>
    </row>
    <row r="6">
      <c r="A6" s="11" t="s">
        <v>59</v>
      </c>
      <c r="B6" s="12" t="s">
        <v>92</v>
      </c>
      <c r="C6" s="12">
        <v>3.0335948E7</v>
      </c>
      <c r="D6" s="13">
        <v>22976.0</v>
      </c>
      <c r="E6" s="13">
        <v>44880.0</v>
      </c>
      <c r="F6" s="13">
        <v>44894.0</v>
      </c>
      <c r="G6" s="13">
        <v>44881.0</v>
      </c>
      <c r="H6" s="12">
        <f t="shared" si="1"/>
        <v>60.01369863</v>
      </c>
      <c r="I6" s="12">
        <v>0.0</v>
      </c>
      <c r="J6" s="12">
        <f t="shared" si="2"/>
        <v>14</v>
      </c>
      <c r="K6" s="12">
        <v>1.0</v>
      </c>
      <c r="L6" s="12">
        <v>51.0</v>
      </c>
      <c r="M6" s="12">
        <v>1.55</v>
      </c>
      <c r="N6" s="14">
        <f t="shared" si="3"/>
        <v>21.22788762</v>
      </c>
      <c r="O6" s="12">
        <v>2.0</v>
      </c>
      <c r="P6" s="12" t="s">
        <v>93</v>
      </c>
      <c r="Q6" s="15">
        <v>0.49513888888888885</v>
      </c>
      <c r="R6" s="15">
        <v>0.717361111111111</v>
      </c>
      <c r="S6" s="16">
        <f t="shared" si="4"/>
        <v>0.2222222222</v>
      </c>
      <c r="T6" s="15">
        <f t="shared" si="5"/>
        <v>320</v>
      </c>
      <c r="U6" s="12">
        <v>0.0</v>
      </c>
      <c r="V6" s="12">
        <v>0.0</v>
      </c>
      <c r="W6" s="12" t="s">
        <v>62</v>
      </c>
      <c r="X6" s="12" t="s">
        <v>63</v>
      </c>
      <c r="Y6" s="12" t="s">
        <v>64</v>
      </c>
      <c r="Z6" s="12">
        <v>1.0</v>
      </c>
      <c r="AA6" s="12">
        <v>2.0</v>
      </c>
      <c r="AB6" s="12" t="s">
        <v>94</v>
      </c>
      <c r="AC6" s="12" t="s">
        <v>95</v>
      </c>
      <c r="AD6" s="12" t="s">
        <v>62</v>
      </c>
      <c r="AE6" s="12" t="s">
        <v>67</v>
      </c>
      <c r="AF6" s="12">
        <v>1.0</v>
      </c>
      <c r="AG6" s="12" t="s">
        <v>96</v>
      </c>
      <c r="AH6" s="12">
        <v>1.0</v>
      </c>
      <c r="AI6" s="12">
        <v>4.0</v>
      </c>
      <c r="AJ6" s="12">
        <v>1.0</v>
      </c>
      <c r="AK6" s="12">
        <v>18.0</v>
      </c>
      <c r="AL6" s="12">
        <f t="shared" si="6"/>
        <v>0.05555555556</v>
      </c>
      <c r="AM6" s="12">
        <v>1.0</v>
      </c>
      <c r="AN6" s="12">
        <v>1.0</v>
      </c>
      <c r="AO6" s="12">
        <v>1.0</v>
      </c>
      <c r="AP6" s="12">
        <v>1.0</v>
      </c>
      <c r="AQ6" s="12" t="s">
        <v>63</v>
      </c>
      <c r="AR6" s="12" t="s">
        <v>62</v>
      </c>
      <c r="AS6" s="12">
        <v>12.5</v>
      </c>
      <c r="AT6" s="12" t="s">
        <v>97</v>
      </c>
      <c r="AU6" s="12"/>
      <c r="AV6" s="12">
        <v>0.0</v>
      </c>
      <c r="AW6" s="12">
        <v>1.0</v>
      </c>
      <c r="AX6" s="12" t="s">
        <v>71</v>
      </c>
      <c r="AY6" s="13">
        <v>45368.0</v>
      </c>
      <c r="AZ6" s="12" t="s">
        <v>62</v>
      </c>
      <c r="BA6" s="12" t="s">
        <v>62</v>
      </c>
      <c r="BB6" s="13" t="str">
        <f t="shared" si="7"/>
        <v>#VALUE!</v>
      </c>
      <c r="BC6" s="12" t="s">
        <v>62</v>
      </c>
      <c r="BD6" s="12">
        <v>0.0</v>
      </c>
      <c r="BE6" s="12" t="s">
        <v>62</v>
      </c>
      <c r="BF6" s="12" t="s">
        <v>62</v>
      </c>
      <c r="BG6" s="12">
        <f t="shared" si="8"/>
        <v>488</v>
      </c>
    </row>
    <row r="7">
      <c r="A7" s="11" t="s">
        <v>59</v>
      </c>
      <c r="B7" s="12" t="s">
        <v>98</v>
      </c>
      <c r="C7" s="12">
        <v>1.2729599E7</v>
      </c>
      <c r="D7" s="13">
        <v>17422.0</v>
      </c>
      <c r="E7" s="13">
        <v>44924.0</v>
      </c>
      <c r="F7" s="13">
        <v>44937.0</v>
      </c>
      <c r="G7" s="13">
        <v>44925.0</v>
      </c>
      <c r="H7" s="12">
        <f t="shared" si="1"/>
        <v>75.35068493</v>
      </c>
      <c r="I7" s="12">
        <v>1.0</v>
      </c>
      <c r="J7" s="12">
        <f t="shared" si="2"/>
        <v>13</v>
      </c>
      <c r="K7" s="12">
        <v>0.0</v>
      </c>
      <c r="L7" s="12">
        <v>74.0</v>
      </c>
      <c r="M7" s="12">
        <v>1.62</v>
      </c>
      <c r="N7" s="14">
        <f t="shared" si="3"/>
        <v>28.1969212</v>
      </c>
      <c r="O7" s="12">
        <v>3.0</v>
      </c>
      <c r="P7" s="12" t="s">
        <v>99</v>
      </c>
      <c r="Q7" s="15">
        <v>0.4166666666666667</v>
      </c>
      <c r="R7" s="15">
        <v>0.6270833333333333</v>
      </c>
      <c r="S7" s="16">
        <f t="shared" si="4"/>
        <v>0.2104166667</v>
      </c>
      <c r="T7" s="15">
        <f t="shared" si="5"/>
        <v>303</v>
      </c>
      <c r="U7" s="12">
        <v>0.0</v>
      </c>
      <c r="V7" s="12">
        <v>0.0</v>
      </c>
      <c r="W7" s="12" t="s">
        <v>62</v>
      </c>
      <c r="X7" s="12" t="s">
        <v>63</v>
      </c>
      <c r="Y7" s="12" t="s">
        <v>64</v>
      </c>
      <c r="Z7" s="12">
        <v>1.0</v>
      </c>
      <c r="AA7" s="12">
        <v>2.0</v>
      </c>
      <c r="AB7" s="12" t="s">
        <v>62</v>
      </c>
      <c r="AC7" s="12" t="s">
        <v>66</v>
      </c>
      <c r="AD7" s="12" t="s">
        <v>62</v>
      </c>
      <c r="AE7" s="12" t="s">
        <v>67</v>
      </c>
      <c r="AF7" s="12">
        <v>1.0</v>
      </c>
      <c r="AG7" s="12" t="s">
        <v>100</v>
      </c>
      <c r="AH7" s="12">
        <v>1.0</v>
      </c>
      <c r="AI7" s="12">
        <v>4.0</v>
      </c>
      <c r="AJ7" s="12">
        <v>2.0</v>
      </c>
      <c r="AK7" s="12">
        <v>36.0</v>
      </c>
      <c r="AL7" s="12">
        <f t="shared" si="6"/>
        <v>0.05555555556</v>
      </c>
      <c r="AM7" s="12">
        <v>0.0</v>
      </c>
      <c r="AN7" s="12">
        <v>1.0</v>
      </c>
      <c r="AO7" s="12">
        <v>1.0</v>
      </c>
      <c r="AP7" s="12">
        <v>1.0</v>
      </c>
      <c r="AQ7" s="12" t="s">
        <v>63</v>
      </c>
      <c r="AR7" s="12">
        <v>19.6</v>
      </c>
      <c r="AS7" s="12">
        <v>14.4</v>
      </c>
      <c r="AT7" s="12" t="s">
        <v>101</v>
      </c>
      <c r="AU7" s="12"/>
      <c r="AV7" s="12">
        <v>0.0</v>
      </c>
      <c r="AW7" s="12">
        <v>1.0</v>
      </c>
      <c r="AX7" s="12" t="s">
        <v>71</v>
      </c>
      <c r="AY7" s="13">
        <v>45525.0</v>
      </c>
      <c r="AZ7" s="12" t="s">
        <v>102</v>
      </c>
      <c r="BA7" s="13">
        <v>45286.0</v>
      </c>
      <c r="BB7" s="12">
        <f t="shared" si="7"/>
        <v>361</v>
      </c>
      <c r="BC7" s="12" t="s">
        <v>103</v>
      </c>
      <c r="BD7" s="12">
        <v>0.0</v>
      </c>
      <c r="BE7" s="12" t="s">
        <v>62</v>
      </c>
      <c r="BF7" s="12" t="s">
        <v>62</v>
      </c>
      <c r="BG7" s="12">
        <f t="shared" si="8"/>
        <v>601</v>
      </c>
    </row>
    <row r="8">
      <c r="A8" s="11" t="s">
        <v>59</v>
      </c>
      <c r="B8" s="12" t="s">
        <v>104</v>
      </c>
      <c r="C8" s="12">
        <v>2214402.0</v>
      </c>
      <c r="D8" s="13">
        <v>17941.0</v>
      </c>
      <c r="E8" s="13">
        <v>44971.0</v>
      </c>
      <c r="F8" s="13">
        <v>44988.0</v>
      </c>
      <c r="G8" s="13">
        <v>44972.0</v>
      </c>
      <c r="H8" s="12">
        <f t="shared" si="1"/>
        <v>74.05753425</v>
      </c>
      <c r="I8" s="12">
        <v>1.0</v>
      </c>
      <c r="J8" s="12">
        <f t="shared" si="2"/>
        <v>17</v>
      </c>
      <c r="K8" s="12">
        <v>1.0</v>
      </c>
      <c r="L8" s="12">
        <v>67.0</v>
      </c>
      <c r="M8" s="12">
        <v>1.7</v>
      </c>
      <c r="N8" s="14">
        <f t="shared" si="3"/>
        <v>23.183391</v>
      </c>
      <c r="O8" s="12">
        <v>1.0</v>
      </c>
      <c r="P8" s="12" t="s">
        <v>105</v>
      </c>
      <c r="Q8" s="15">
        <v>0.4131944444444444</v>
      </c>
      <c r="R8" s="15">
        <v>0.5902777777777778</v>
      </c>
      <c r="S8" s="16">
        <f t="shared" si="4"/>
        <v>0.1770833333</v>
      </c>
      <c r="T8" s="15">
        <f t="shared" si="5"/>
        <v>255</v>
      </c>
      <c r="U8" s="12">
        <v>0.0</v>
      </c>
      <c r="V8" s="12">
        <v>0.0</v>
      </c>
      <c r="W8" s="12" t="s">
        <v>62</v>
      </c>
      <c r="X8" s="12" t="s">
        <v>106</v>
      </c>
      <c r="Y8" s="12" t="s">
        <v>64</v>
      </c>
      <c r="Z8" s="12">
        <v>1.0</v>
      </c>
      <c r="AA8" s="12">
        <v>2.0</v>
      </c>
      <c r="AB8" s="12" t="s">
        <v>107</v>
      </c>
      <c r="AC8" s="12" t="s">
        <v>66</v>
      </c>
      <c r="AD8" s="12" t="s">
        <v>62</v>
      </c>
      <c r="AE8" s="12" t="s">
        <v>108</v>
      </c>
      <c r="AF8" s="12">
        <v>0.0</v>
      </c>
      <c r="AG8" s="12" t="s">
        <v>62</v>
      </c>
      <c r="AH8" s="12">
        <v>1.0</v>
      </c>
      <c r="AI8" s="12">
        <v>9.0</v>
      </c>
      <c r="AJ8" s="12">
        <v>0.0</v>
      </c>
      <c r="AK8" s="12">
        <v>27.0</v>
      </c>
      <c r="AL8" s="12">
        <f t="shared" si="6"/>
        <v>0</v>
      </c>
      <c r="AM8" s="12">
        <v>0.0</v>
      </c>
      <c r="AN8" s="12">
        <v>0.0</v>
      </c>
      <c r="AO8" s="12">
        <v>1.0</v>
      </c>
      <c r="AP8" s="12">
        <v>1.0</v>
      </c>
      <c r="AQ8" s="12" t="s">
        <v>109</v>
      </c>
      <c r="AR8" s="12">
        <v>6.0</v>
      </c>
      <c r="AS8" s="12">
        <v>13.3</v>
      </c>
      <c r="AT8" s="12" t="s">
        <v>110</v>
      </c>
      <c r="AU8" s="12" t="s">
        <v>111</v>
      </c>
      <c r="AV8" s="12">
        <v>0.0</v>
      </c>
      <c r="AW8" s="12">
        <v>1.0</v>
      </c>
      <c r="AX8" s="12" t="s">
        <v>71</v>
      </c>
      <c r="AY8" s="13">
        <v>45041.0</v>
      </c>
      <c r="AZ8" s="12" t="s">
        <v>62</v>
      </c>
      <c r="BA8" s="12" t="s">
        <v>62</v>
      </c>
      <c r="BB8" s="13" t="str">
        <f t="shared" si="7"/>
        <v>#VALUE!</v>
      </c>
      <c r="BC8" s="12" t="s">
        <v>62</v>
      </c>
      <c r="BD8" s="12">
        <v>0.0</v>
      </c>
      <c r="BE8" s="12" t="s">
        <v>62</v>
      </c>
      <c r="BF8" s="12" t="s">
        <v>62</v>
      </c>
      <c r="BG8" s="12">
        <f t="shared" si="8"/>
        <v>70</v>
      </c>
    </row>
    <row r="9">
      <c r="A9" s="11" t="s">
        <v>59</v>
      </c>
      <c r="B9" s="12" t="s">
        <v>112</v>
      </c>
      <c r="C9" s="12">
        <v>6846011.0</v>
      </c>
      <c r="D9" s="13">
        <v>21566.0</v>
      </c>
      <c r="E9" s="13">
        <v>44973.0</v>
      </c>
      <c r="F9" s="13">
        <v>45012.0</v>
      </c>
      <c r="G9" s="13">
        <v>44974.0</v>
      </c>
      <c r="H9" s="12">
        <f t="shared" si="1"/>
        <v>64.13150685</v>
      </c>
      <c r="I9" s="12">
        <v>0.0</v>
      </c>
      <c r="J9" s="12">
        <f t="shared" si="2"/>
        <v>39</v>
      </c>
      <c r="K9" s="12">
        <v>1.0</v>
      </c>
      <c r="L9" s="12">
        <v>59.0</v>
      </c>
      <c r="M9" s="12">
        <v>1.65</v>
      </c>
      <c r="N9" s="14">
        <f t="shared" si="3"/>
        <v>21.67125803</v>
      </c>
      <c r="O9" s="12">
        <v>2.0</v>
      </c>
      <c r="P9" s="12" t="s">
        <v>113</v>
      </c>
      <c r="Q9" s="15">
        <v>0.5277777777777778</v>
      </c>
      <c r="R9" s="15">
        <v>0.7305555555555556</v>
      </c>
      <c r="S9" s="16">
        <f t="shared" si="4"/>
        <v>0.2027777778</v>
      </c>
      <c r="T9" s="15">
        <f t="shared" si="5"/>
        <v>292</v>
      </c>
      <c r="U9" s="12">
        <v>0.0</v>
      </c>
      <c r="V9" s="12">
        <v>0.0</v>
      </c>
      <c r="W9" s="12" t="s">
        <v>62</v>
      </c>
      <c r="X9" s="12" t="s">
        <v>114</v>
      </c>
      <c r="Y9" s="12" t="s">
        <v>64</v>
      </c>
      <c r="Z9" s="12">
        <v>1.0</v>
      </c>
      <c r="AA9" s="12">
        <v>2.0</v>
      </c>
      <c r="AB9" s="12" t="s">
        <v>115</v>
      </c>
      <c r="AC9" s="12" t="s">
        <v>66</v>
      </c>
      <c r="AD9" s="12" t="s">
        <v>62</v>
      </c>
      <c r="AE9" s="12">
        <v>2.0</v>
      </c>
      <c r="AF9" s="12">
        <v>1.0</v>
      </c>
      <c r="AG9" s="12" t="s">
        <v>100</v>
      </c>
      <c r="AH9" s="12">
        <v>1.0</v>
      </c>
      <c r="AI9" s="12">
        <v>1.0</v>
      </c>
      <c r="AJ9" s="12">
        <v>0.0</v>
      </c>
      <c r="AK9" s="12">
        <v>13.0</v>
      </c>
      <c r="AL9" s="12">
        <f t="shared" si="6"/>
        <v>0</v>
      </c>
      <c r="AM9" s="12">
        <v>0.0</v>
      </c>
      <c r="AN9" s="12">
        <v>1.0</v>
      </c>
      <c r="AO9" s="12">
        <v>1.0</v>
      </c>
      <c r="AP9" s="12">
        <v>1.0</v>
      </c>
      <c r="AQ9" s="12" t="s">
        <v>63</v>
      </c>
      <c r="AR9" s="12">
        <v>8.0</v>
      </c>
      <c r="AS9" s="12">
        <v>10.6</v>
      </c>
      <c r="AT9" s="12" t="s">
        <v>116</v>
      </c>
      <c r="AU9" s="12"/>
      <c r="AV9" s="12">
        <v>0.0</v>
      </c>
      <c r="AW9" s="12">
        <v>1.0</v>
      </c>
      <c r="AX9" s="12" t="s">
        <v>71</v>
      </c>
      <c r="AY9" s="13">
        <v>45212.0</v>
      </c>
      <c r="AZ9" s="12" t="s">
        <v>62</v>
      </c>
      <c r="BA9" s="12" t="s">
        <v>62</v>
      </c>
      <c r="BB9" s="13" t="str">
        <f t="shared" si="7"/>
        <v>#VALUE!</v>
      </c>
      <c r="BC9" s="12" t="s">
        <v>62</v>
      </c>
      <c r="BD9" s="12">
        <v>0.0</v>
      </c>
      <c r="BE9" s="12" t="s">
        <v>62</v>
      </c>
      <c r="BF9" s="12" t="s">
        <v>62</v>
      </c>
      <c r="BG9" s="12">
        <f t="shared" si="8"/>
        <v>239</v>
      </c>
    </row>
    <row r="10">
      <c r="A10" s="11" t="s">
        <v>59</v>
      </c>
      <c r="B10" s="12" t="s">
        <v>117</v>
      </c>
      <c r="C10" s="12">
        <v>1798024.0</v>
      </c>
      <c r="D10" s="13">
        <v>17469.0</v>
      </c>
      <c r="E10" s="13">
        <v>45110.0</v>
      </c>
      <c r="F10" s="13">
        <v>45124.0</v>
      </c>
      <c r="G10" s="13">
        <v>45111.0</v>
      </c>
      <c r="H10" s="12">
        <f t="shared" si="1"/>
        <v>75.73150685</v>
      </c>
      <c r="I10" s="12">
        <v>1.0</v>
      </c>
      <c r="J10" s="12">
        <f t="shared" si="2"/>
        <v>14</v>
      </c>
      <c r="K10" s="12">
        <v>0.0</v>
      </c>
      <c r="L10" s="12">
        <v>67.0</v>
      </c>
      <c r="M10" s="12">
        <v>1.83</v>
      </c>
      <c r="N10" s="14">
        <f t="shared" si="3"/>
        <v>20.00656932</v>
      </c>
      <c r="O10" s="12">
        <v>2.0</v>
      </c>
      <c r="P10" s="12" t="s">
        <v>118</v>
      </c>
      <c r="Q10" s="15">
        <v>0.41250000000000003</v>
      </c>
      <c r="R10" s="15">
        <v>0.7131944444444445</v>
      </c>
      <c r="S10" s="16">
        <f t="shared" si="4"/>
        <v>0.3006944444</v>
      </c>
      <c r="T10" s="15">
        <f t="shared" si="5"/>
        <v>433</v>
      </c>
      <c r="U10" s="12">
        <v>0.0</v>
      </c>
      <c r="V10" s="12">
        <v>0.0</v>
      </c>
      <c r="W10" s="12" t="s">
        <v>62</v>
      </c>
      <c r="X10" s="12" t="s">
        <v>114</v>
      </c>
      <c r="Y10" s="12" t="s">
        <v>64</v>
      </c>
      <c r="Z10" s="12">
        <v>1.0</v>
      </c>
      <c r="AA10" s="12">
        <v>2.0</v>
      </c>
      <c r="AB10" s="12" t="s">
        <v>119</v>
      </c>
      <c r="AC10" s="12" t="s">
        <v>66</v>
      </c>
      <c r="AD10" s="12" t="s">
        <v>62</v>
      </c>
      <c r="AE10" s="12">
        <v>2.0</v>
      </c>
      <c r="AF10" s="12">
        <v>0.0</v>
      </c>
      <c r="AG10" s="12" t="s">
        <v>62</v>
      </c>
      <c r="AH10" s="12">
        <v>1.0</v>
      </c>
      <c r="AI10" s="12">
        <v>2.0</v>
      </c>
      <c r="AJ10" s="12">
        <v>0.0</v>
      </c>
      <c r="AK10" s="12">
        <v>40.0</v>
      </c>
      <c r="AL10" s="12">
        <f t="shared" si="6"/>
        <v>0</v>
      </c>
      <c r="AM10" s="12">
        <v>0.0</v>
      </c>
      <c r="AN10" s="12">
        <v>1.0</v>
      </c>
      <c r="AO10" s="12">
        <v>1.0</v>
      </c>
      <c r="AP10" s="12">
        <v>1.0</v>
      </c>
      <c r="AQ10" s="12" t="s">
        <v>63</v>
      </c>
      <c r="AR10" s="12">
        <v>5.0</v>
      </c>
      <c r="AS10" s="12">
        <v>14.1</v>
      </c>
      <c r="AT10" s="12" t="s">
        <v>120</v>
      </c>
      <c r="AU10" s="12" t="s">
        <v>62</v>
      </c>
      <c r="AV10" s="12">
        <v>0.0</v>
      </c>
      <c r="AW10" s="12"/>
      <c r="AX10" s="12"/>
      <c r="AY10" s="13">
        <v>45257.0</v>
      </c>
      <c r="AZ10" s="12" t="s">
        <v>121</v>
      </c>
      <c r="BA10" s="13">
        <v>45209.0</v>
      </c>
      <c r="BB10" s="12">
        <f t="shared" si="7"/>
        <v>98</v>
      </c>
      <c r="BC10" s="12">
        <v>1.0</v>
      </c>
      <c r="BD10" s="12">
        <v>1.0</v>
      </c>
      <c r="BE10" s="13">
        <v>45257.0</v>
      </c>
      <c r="BF10" s="12" t="s">
        <v>122</v>
      </c>
      <c r="BG10" s="12">
        <f t="shared" si="8"/>
        <v>147</v>
      </c>
    </row>
    <row r="11">
      <c r="A11" s="11" t="s">
        <v>59</v>
      </c>
      <c r="B11" s="12" t="s">
        <v>123</v>
      </c>
      <c r="C11" s="12">
        <v>2.882973E7</v>
      </c>
      <c r="D11" s="13">
        <v>19221.0</v>
      </c>
      <c r="E11" s="13">
        <v>45137.0</v>
      </c>
      <c r="F11" s="13">
        <v>45162.0</v>
      </c>
      <c r="G11" s="13">
        <v>45138.0</v>
      </c>
      <c r="H11" s="12">
        <f t="shared" si="1"/>
        <v>71.00547945</v>
      </c>
      <c r="I11" s="12">
        <v>1.0</v>
      </c>
      <c r="J11" s="12">
        <f t="shared" si="2"/>
        <v>25</v>
      </c>
      <c r="K11" s="12">
        <v>0.0</v>
      </c>
      <c r="L11" s="12">
        <v>70.0</v>
      </c>
      <c r="M11" s="12">
        <v>1.72</v>
      </c>
      <c r="N11" s="14">
        <f t="shared" si="3"/>
        <v>23.66143862</v>
      </c>
      <c r="O11" s="12">
        <v>2.0</v>
      </c>
      <c r="P11" s="12" t="s">
        <v>124</v>
      </c>
      <c r="Q11" s="15">
        <v>0.5750000000000001</v>
      </c>
      <c r="R11" s="15">
        <v>0.7576388888888889</v>
      </c>
      <c r="S11" s="16">
        <f t="shared" si="4"/>
        <v>0.1826388889</v>
      </c>
      <c r="T11" s="15">
        <f t="shared" si="5"/>
        <v>263</v>
      </c>
      <c r="U11" s="12">
        <v>0.0</v>
      </c>
      <c r="V11" s="12">
        <v>0.0</v>
      </c>
      <c r="W11" s="12" t="s">
        <v>62</v>
      </c>
      <c r="X11" s="12" t="s">
        <v>114</v>
      </c>
      <c r="Y11" s="12" t="s">
        <v>64</v>
      </c>
      <c r="Z11" s="12">
        <v>1.0</v>
      </c>
      <c r="AA11" s="12">
        <v>2.0</v>
      </c>
      <c r="AB11" s="12" t="s">
        <v>125</v>
      </c>
      <c r="AC11" s="12" t="s">
        <v>66</v>
      </c>
      <c r="AD11" s="12" t="s">
        <v>62</v>
      </c>
      <c r="AE11" s="12" t="s">
        <v>108</v>
      </c>
      <c r="AF11" s="12">
        <v>1.0</v>
      </c>
      <c r="AG11" s="12" t="s">
        <v>126</v>
      </c>
      <c r="AH11" s="12">
        <v>1.0</v>
      </c>
      <c r="AI11" s="12">
        <v>8.0</v>
      </c>
      <c r="AJ11" s="12">
        <v>0.0</v>
      </c>
      <c r="AK11" s="12">
        <v>33.0</v>
      </c>
      <c r="AL11" s="12">
        <f t="shared" si="6"/>
        <v>0</v>
      </c>
      <c r="AM11" s="12">
        <v>0.0</v>
      </c>
      <c r="AN11" s="12">
        <v>1.0</v>
      </c>
      <c r="AO11" s="12">
        <v>1.0</v>
      </c>
      <c r="AP11" s="12">
        <v>1.0</v>
      </c>
      <c r="AQ11" s="12" t="s">
        <v>63</v>
      </c>
      <c r="AR11" s="12">
        <v>141.0</v>
      </c>
      <c r="AS11" s="12">
        <v>11.5</v>
      </c>
      <c r="AT11" s="12" t="s">
        <v>127</v>
      </c>
      <c r="AU11" s="12" t="s">
        <v>128</v>
      </c>
      <c r="AV11" s="12">
        <v>0.0</v>
      </c>
      <c r="AW11" s="12">
        <v>1.0</v>
      </c>
      <c r="AX11" s="12" t="s">
        <v>71</v>
      </c>
      <c r="AY11" s="13">
        <v>45377.0</v>
      </c>
      <c r="AZ11" s="12" t="s">
        <v>62</v>
      </c>
      <c r="BA11" s="12" t="s">
        <v>62</v>
      </c>
      <c r="BB11" s="13" t="str">
        <f t="shared" si="7"/>
        <v>#VALUE!</v>
      </c>
      <c r="BC11" s="12" t="s">
        <v>62</v>
      </c>
      <c r="BD11" s="12">
        <v>0.0</v>
      </c>
      <c r="BE11" s="12" t="s">
        <v>62</v>
      </c>
      <c r="BF11" s="12" t="s">
        <v>62</v>
      </c>
      <c r="BG11" s="12">
        <f t="shared" si="8"/>
        <v>240</v>
      </c>
    </row>
    <row r="12">
      <c r="A12" s="11" t="s">
        <v>59</v>
      </c>
      <c r="B12" s="12" t="s">
        <v>129</v>
      </c>
      <c r="C12" s="12">
        <v>2842777.0</v>
      </c>
      <c r="D12" s="13">
        <v>21927.0</v>
      </c>
      <c r="E12" s="13">
        <v>45201.0</v>
      </c>
      <c r="F12" s="13">
        <v>45217.0</v>
      </c>
      <c r="G12" s="13">
        <v>45201.0</v>
      </c>
      <c r="H12" s="12">
        <f t="shared" si="1"/>
        <v>63.76438356</v>
      </c>
      <c r="I12" s="12">
        <v>0.0</v>
      </c>
      <c r="J12" s="12">
        <f t="shared" si="2"/>
        <v>16</v>
      </c>
      <c r="K12" s="12">
        <v>1.0</v>
      </c>
      <c r="L12" s="12">
        <v>104.0</v>
      </c>
      <c r="M12" s="12">
        <v>1.67</v>
      </c>
      <c r="N12" s="14">
        <f t="shared" si="3"/>
        <v>37.29068808</v>
      </c>
      <c r="O12" s="12">
        <v>2.0</v>
      </c>
      <c r="P12" s="12" t="s">
        <v>130</v>
      </c>
      <c r="Q12" s="15">
        <v>0.40902777777777777</v>
      </c>
      <c r="R12" s="15">
        <v>0.6513888888888889</v>
      </c>
      <c r="S12" s="16">
        <f t="shared" si="4"/>
        <v>0.2423611111</v>
      </c>
      <c r="T12" s="15">
        <f t="shared" si="5"/>
        <v>349</v>
      </c>
      <c r="U12" s="12">
        <v>0.0</v>
      </c>
      <c r="V12" s="12">
        <v>0.0</v>
      </c>
      <c r="W12" s="12" t="s">
        <v>62</v>
      </c>
      <c r="X12" s="12" t="s">
        <v>131</v>
      </c>
      <c r="Y12" s="12" t="s">
        <v>64</v>
      </c>
      <c r="Z12" s="12">
        <v>1.0</v>
      </c>
      <c r="AA12" s="12">
        <v>2.0</v>
      </c>
      <c r="AB12" s="12" t="s">
        <v>132</v>
      </c>
      <c r="AC12" s="12" t="s">
        <v>66</v>
      </c>
      <c r="AD12" s="12" t="s">
        <v>62</v>
      </c>
      <c r="AE12" s="12" t="s">
        <v>67</v>
      </c>
      <c r="AF12" s="12">
        <v>1.0</v>
      </c>
      <c r="AG12" s="12" t="s">
        <v>133</v>
      </c>
      <c r="AH12" s="12">
        <v>1.0</v>
      </c>
      <c r="AI12" s="12">
        <v>9.0</v>
      </c>
      <c r="AJ12" s="12">
        <v>1.0</v>
      </c>
      <c r="AK12" s="12">
        <v>39.0</v>
      </c>
      <c r="AL12" s="12">
        <f t="shared" si="6"/>
        <v>0.02564102564</v>
      </c>
      <c r="AM12" s="12">
        <v>1.0</v>
      </c>
      <c r="AN12" s="12">
        <v>1.0</v>
      </c>
      <c r="AO12" s="12">
        <v>1.0</v>
      </c>
      <c r="AP12" s="12">
        <v>1.0</v>
      </c>
      <c r="AQ12" s="12" t="s">
        <v>63</v>
      </c>
      <c r="AR12" s="12">
        <v>7.0</v>
      </c>
      <c r="AS12" s="12">
        <v>13.7</v>
      </c>
      <c r="AT12" s="12" t="s">
        <v>134</v>
      </c>
      <c r="AU12" s="12" t="s">
        <v>135</v>
      </c>
      <c r="AV12" s="12">
        <v>0.0</v>
      </c>
      <c r="AW12" s="12">
        <v>1.0</v>
      </c>
      <c r="AX12" s="12" t="s">
        <v>71</v>
      </c>
      <c r="AY12" s="13">
        <v>45252.0</v>
      </c>
      <c r="AZ12" s="12" t="s">
        <v>62</v>
      </c>
      <c r="BA12" s="12" t="s">
        <v>62</v>
      </c>
      <c r="BB12" s="13" t="str">
        <f t="shared" si="7"/>
        <v>#VALUE!</v>
      </c>
      <c r="BC12" s="12" t="s">
        <v>62</v>
      </c>
      <c r="BD12" s="12">
        <v>0.0</v>
      </c>
      <c r="BE12" s="12" t="s">
        <v>62</v>
      </c>
      <c r="BF12" s="12" t="s">
        <v>62</v>
      </c>
      <c r="BG12" s="12">
        <f t="shared" si="8"/>
        <v>51</v>
      </c>
    </row>
    <row r="13" ht="15.75" customHeight="1">
      <c r="A13" s="11" t="s">
        <v>59</v>
      </c>
      <c r="B13" s="12" t="s">
        <v>136</v>
      </c>
      <c r="C13" s="12">
        <v>1.29306E7</v>
      </c>
      <c r="D13" s="13">
        <v>17598.0</v>
      </c>
      <c r="E13" s="13">
        <v>45287.0</v>
      </c>
      <c r="F13" s="13">
        <v>45316.0</v>
      </c>
      <c r="G13" s="13">
        <v>45287.0</v>
      </c>
      <c r="H13" s="12">
        <f t="shared" si="1"/>
        <v>75.86027397</v>
      </c>
      <c r="I13" s="12">
        <v>1.0</v>
      </c>
      <c r="J13" s="12">
        <f t="shared" si="2"/>
        <v>29</v>
      </c>
      <c r="K13" s="12">
        <v>0.0</v>
      </c>
      <c r="L13" s="12">
        <v>90.0</v>
      </c>
      <c r="M13" s="12">
        <v>1.72</v>
      </c>
      <c r="N13" s="14">
        <f t="shared" si="3"/>
        <v>30.42184965</v>
      </c>
      <c r="O13" s="12">
        <v>2.0</v>
      </c>
      <c r="P13" s="12" t="s">
        <v>137</v>
      </c>
      <c r="Q13" s="15">
        <v>0.6145833333333334</v>
      </c>
      <c r="R13" s="15">
        <v>0.78125</v>
      </c>
      <c r="S13" s="16">
        <f t="shared" si="4"/>
        <v>0.1666666667</v>
      </c>
      <c r="T13" s="15">
        <f t="shared" si="5"/>
        <v>240</v>
      </c>
      <c r="U13" s="12">
        <v>0.0</v>
      </c>
      <c r="V13" s="12">
        <v>0.0</v>
      </c>
      <c r="W13" s="12" t="s">
        <v>62</v>
      </c>
      <c r="X13" s="12" t="s">
        <v>114</v>
      </c>
      <c r="Y13" s="12" t="s">
        <v>64</v>
      </c>
      <c r="Z13" s="12">
        <v>1.0</v>
      </c>
      <c r="AA13" s="12">
        <v>2.0</v>
      </c>
      <c r="AB13" s="12" t="s">
        <v>138</v>
      </c>
      <c r="AC13" s="12" t="s">
        <v>66</v>
      </c>
      <c r="AD13" s="12" t="s">
        <v>62</v>
      </c>
      <c r="AE13" s="12">
        <v>4.0</v>
      </c>
      <c r="AF13" s="12">
        <v>0.0</v>
      </c>
      <c r="AG13" s="12" t="s">
        <v>62</v>
      </c>
      <c r="AH13" s="12">
        <v>1.0</v>
      </c>
      <c r="AI13" s="12">
        <v>3.0</v>
      </c>
      <c r="AJ13" s="12">
        <v>2.0</v>
      </c>
      <c r="AK13" s="12">
        <v>20.0</v>
      </c>
      <c r="AL13" s="12">
        <f t="shared" si="6"/>
        <v>0.1</v>
      </c>
      <c r="AM13" s="12">
        <v>1.0</v>
      </c>
      <c r="AN13" s="12">
        <v>1.0</v>
      </c>
      <c r="AO13" s="12">
        <v>1.0</v>
      </c>
      <c r="AP13" s="12">
        <v>1.0</v>
      </c>
      <c r="AQ13" s="12" t="s">
        <v>63</v>
      </c>
      <c r="AR13" s="12" t="s">
        <v>62</v>
      </c>
      <c r="AS13" s="12">
        <v>14.5</v>
      </c>
      <c r="AT13" s="12" t="s">
        <v>139</v>
      </c>
      <c r="AU13" s="12" t="s">
        <v>140</v>
      </c>
      <c r="AV13" s="12">
        <v>0.0</v>
      </c>
      <c r="AW13" s="12">
        <v>1.0</v>
      </c>
      <c r="AX13" s="12" t="s">
        <v>71</v>
      </c>
      <c r="AY13" s="13">
        <v>45431.0</v>
      </c>
      <c r="AZ13" s="12" t="s">
        <v>62</v>
      </c>
      <c r="BA13" s="12" t="s">
        <v>62</v>
      </c>
      <c r="BB13" s="13" t="str">
        <f t="shared" si="7"/>
        <v>#VALUE!</v>
      </c>
      <c r="BC13" s="12" t="s">
        <v>62</v>
      </c>
      <c r="BD13" s="12">
        <v>1.0</v>
      </c>
      <c r="BE13" s="13">
        <v>45431.0</v>
      </c>
      <c r="BF13" s="12" t="s">
        <v>141</v>
      </c>
      <c r="BG13" s="12">
        <f t="shared" si="8"/>
        <v>144</v>
      </c>
    </row>
    <row r="14" ht="15.75" customHeight="1">
      <c r="A14" s="11" t="s">
        <v>59</v>
      </c>
      <c r="B14" s="12" t="s">
        <v>142</v>
      </c>
      <c r="C14" s="12">
        <v>1.6045992E7</v>
      </c>
      <c r="D14" s="13">
        <v>28891.0</v>
      </c>
      <c r="E14" s="13">
        <v>45299.0</v>
      </c>
      <c r="F14" s="13">
        <v>45341.0</v>
      </c>
      <c r="G14" s="13">
        <v>45300.0</v>
      </c>
      <c r="H14" s="12">
        <f t="shared" si="1"/>
        <v>44.95616438</v>
      </c>
      <c r="I14" s="12">
        <v>0.0</v>
      </c>
      <c r="J14" s="12">
        <f t="shared" si="2"/>
        <v>42</v>
      </c>
      <c r="K14" s="12">
        <v>1.0</v>
      </c>
      <c r="L14" s="12">
        <v>40.0</v>
      </c>
      <c r="M14" s="12">
        <v>1.58</v>
      </c>
      <c r="N14" s="14">
        <f t="shared" si="3"/>
        <v>16.02307323</v>
      </c>
      <c r="O14" s="12">
        <v>2.0</v>
      </c>
      <c r="P14" s="12" t="s">
        <v>143</v>
      </c>
      <c r="Q14" s="15">
        <v>0.4041666666666666</v>
      </c>
      <c r="R14" s="15">
        <v>0.6</v>
      </c>
      <c r="S14" s="16">
        <f t="shared" si="4"/>
        <v>0.1958333333</v>
      </c>
      <c r="T14" s="15">
        <f t="shared" si="5"/>
        <v>282</v>
      </c>
      <c r="U14" s="12">
        <v>0.0</v>
      </c>
      <c r="V14" s="12">
        <v>0.0</v>
      </c>
      <c r="W14" s="12" t="s">
        <v>62</v>
      </c>
      <c r="X14" s="12" t="s">
        <v>114</v>
      </c>
      <c r="Y14" s="12" t="s">
        <v>64</v>
      </c>
      <c r="Z14" s="12">
        <v>1.0</v>
      </c>
      <c r="AA14" s="12">
        <v>2.0</v>
      </c>
      <c r="AB14" s="12" t="s">
        <v>144</v>
      </c>
      <c r="AC14" s="12" t="s">
        <v>66</v>
      </c>
      <c r="AD14" s="12" t="s">
        <v>62</v>
      </c>
      <c r="AE14" s="12">
        <v>3.0</v>
      </c>
      <c r="AF14" s="12">
        <v>1.0</v>
      </c>
      <c r="AG14" s="12" t="s">
        <v>145</v>
      </c>
      <c r="AH14" s="12">
        <v>1.0</v>
      </c>
      <c r="AI14" s="12">
        <v>1.0</v>
      </c>
      <c r="AJ14" s="12">
        <v>4.0</v>
      </c>
      <c r="AK14" s="12">
        <v>19.0</v>
      </c>
      <c r="AL14" s="12">
        <f t="shared" si="6"/>
        <v>0.2105263158</v>
      </c>
      <c r="AM14" s="12">
        <v>2.0</v>
      </c>
      <c r="AN14" s="12">
        <v>1.0</v>
      </c>
      <c r="AO14" s="12">
        <v>1.0</v>
      </c>
      <c r="AP14" s="12">
        <v>1.0</v>
      </c>
      <c r="AQ14" s="12" t="s">
        <v>63</v>
      </c>
      <c r="AR14" s="12">
        <v>16.3</v>
      </c>
      <c r="AS14" s="12">
        <v>11.9</v>
      </c>
      <c r="AT14" s="12" t="s">
        <v>146</v>
      </c>
      <c r="AU14" s="12" t="s">
        <v>147</v>
      </c>
      <c r="AV14" s="12">
        <v>0.0</v>
      </c>
      <c r="AW14" s="12">
        <v>1.0</v>
      </c>
      <c r="AX14" s="12" t="s">
        <v>71</v>
      </c>
      <c r="AY14" s="13">
        <v>45371.0</v>
      </c>
      <c r="AZ14" s="12" t="s">
        <v>62</v>
      </c>
      <c r="BA14" s="12" t="s">
        <v>62</v>
      </c>
      <c r="BB14" s="13" t="str">
        <f t="shared" si="7"/>
        <v>#VALUE!</v>
      </c>
      <c r="BC14" s="12" t="s">
        <v>62</v>
      </c>
      <c r="BD14" s="12">
        <v>0.0</v>
      </c>
      <c r="BE14" s="12" t="s">
        <v>62</v>
      </c>
      <c r="BF14" s="12" t="s">
        <v>62</v>
      </c>
      <c r="BG14" s="12">
        <f t="shared" si="8"/>
        <v>72</v>
      </c>
    </row>
    <row r="15" ht="15.75" customHeight="1">
      <c r="A15" s="11" t="s">
        <v>59</v>
      </c>
      <c r="B15" s="12" t="s">
        <v>148</v>
      </c>
      <c r="C15" s="12">
        <v>2.661682E7</v>
      </c>
      <c r="D15" s="13">
        <v>27356.0</v>
      </c>
      <c r="E15" s="13">
        <v>45390.0</v>
      </c>
      <c r="F15" s="13">
        <v>45415.0</v>
      </c>
      <c r="G15" s="13">
        <v>45390.0</v>
      </c>
      <c r="H15" s="12">
        <f t="shared" si="1"/>
        <v>49.40821918</v>
      </c>
      <c r="I15" s="12">
        <v>0.0</v>
      </c>
      <c r="J15" s="12">
        <f t="shared" si="2"/>
        <v>25</v>
      </c>
      <c r="K15" s="12">
        <v>0.0</v>
      </c>
      <c r="L15" s="12">
        <v>70.0</v>
      </c>
      <c r="M15" s="12">
        <v>1.69</v>
      </c>
      <c r="N15" s="14">
        <f t="shared" si="3"/>
        <v>24.50894577</v>
      </c>
      <c r="O15" s="12">
        <v>2.0</v>
      </c>
      <c r="P15" s="12" t="s">
        <v>149</v>
      </c>
      <c r="Q15" s="15">
        <v>0.4173611111111111</v>
      </c>
      <c r="R15" s="15">
        <v>0.6493055555555556</v>
      </c>
      <c r="S15" s="16">
        <f t="shared" si="4"/>
        <v>0.2319444444</v>
      </c>
      <c r="T15" s="15">
        <f t="shared" si="5"/>
        <v>334</v>
      </c>
      <c r="U15" s="12" t="s">
        <v>150</v>
      </c>
      <c r="V15" s="12">
        <v>0.0</v>
      </c>
      <c r="W15" s="12" t="s">
        <v>62</v>
      </c>
      <c r="X15" s="12" t="s">
        <v>151</v>
      </c>
      <c r="Y15" s="12" t="s">
        <v>64</v>
      </c>
      <c r="Z15" s="12">
        <v>1.0</v>
      </c>
      <c r="AA15" s="12">
        <v>2.0</v>
      </c>
      <c r="AB15" s="12" t="s">
        <v>152</v>
      </c>
      <c r="AC15" s="12" t="s">
        <v>66</v>
      </c>
      <c r="AD15" s="12" t="s">
        <v>62</v>
      </c>
      <c r="AE15" s="12">
        <v>3.0</v>
      </c>
      <c r="AF15" s="12">
        <v>0.0</v>
      </c>
      <c r="AG15" s="12" t="s">
        <v>62</v>
      </c>
      <c r="AH15" s="12">
        <v>1.0</v>
      </c>
      <c r="AI15" s="12">
        <v>10.0</v>
      </c>
      <c r="AJ15" s="12">
        <v>6.0</v>
      </c>
      <c r="AK15" s="12">
        <v>33.0</v>
      </c>
      <c r="AL15" s="12">
        <f t="shared" si="6"/>
        <v>0.1818181818</v>
      </c>
      <c r="AM15" s="12">
        <v>1.0</v>
      </c>
      <c r="AN15" s="12">
        <v>1.0</v>
      </c>
      <c r="AO15" s="12">
        <v>1.0</v>
      </c>
      <c r="AP15" s="12">
        <v>1.0</v>
      </c>
      <c r="AQ15" s="12" t="s">
        <v>151</v>
      </c>
      <c r="AR15" s="12">
        <v>5.0</v>
      </c>
      <c r="AS15" s="12">
        <v>10.6</v>
      </c>
      <c r="AT15" s="12" t="s">
        <v>153</v>
      </c>
      <c r="AU15" s="12" t="s">
        <v>154</v>
      </c>
      <c r="AV15" s="12">
        <v>0.0</v>
      </c>
      <c r="AW15" s="12">
        <v>1.0</v>
      </c>
      <c r="AX15" s="12" t="s">
        <v>71</v>
      </c>
      <c r="AY15" s="13">
        <v>45453.0</v>
      </c>
      <c r="AZ15" s="12" t="s">
        <v>62</v>
      </c>
      <c r="BA15" s="12" t="s">
        <v>62</v>
      </c>
      <c r="BB15" s="13" t="str">
        <f t="shared" si="7"/>
        <v>#VALUE!</v>
      </c>
      <c r="BC15" s="12" t="s">
        <v>62</v>
      </c>
      <c r="BD15" s="12">
        <v>0.0</v>
      </c>
      <c r="BE15" s="12" t="s">
        <v>62</v>
      </c>
      <c r="BF15" s="12" t="s">
        <v>62</v>
      </c>
      <c r="BG15" s="12">
        <f t="shared" si="8"/>
        <v>63</v>
      </c>
    </row>
    <row r="16" ht="15.75" customHeight="1">
      <c r="A16" s="11" t="s">
        <v>59</v>
      </c>
      <c r="B16" s="12" t="s">
        <v>155</v>
      </c>
      <c r="C16" s="12">
        <v>1.4755363E7</v>
      </c>
      <c r="D16" s="13">
        <v>25126.0</v>
      </c>
      <c r="E16" s="13">
        <v>45473.0</v>
      </c>
      <c r="F16" s="13">
        <v>45497.0</v>
      </c>
      <c r="G16" s="13">
        <v>45474.0</v>
      </c>
      <c r="H16" s="12">
        <f t="shared" si="1"/>
        <v>55.74794521</v>
      </c>
      <c r="I16" s="12">
        <v>0.0</v>
      </c>
      <c r="J16" s="12">
        <f t="shared" si="2"/>
        <v>24</v>
      </c>
      <c r="K16" s="12">
        <v>1.0</v>
      </c>
      <c r="L16" s="12">
        <v>45.0</v>
      </c>
      <c r="M16" s="12">
        <v>1.6</v>
      </c>
      <c r="N16" s="14">
        <f t="shared" si="3"/>
        <v>17.578125</v>
      </c>
      <c r="O16" s="12">
        <v>3.0</v>
      </c>
      <c r="P16" s="12" t="s">
        <v>156</v>
      </c>
      <c r="Q16" s="15">
        <v>0.40277777777777773</v>
      </c>
      <c r="R16" s="15">
        <v>0.6527777777777778</v>
      </c>
      <c r="S16" s="16">
        <f t="shared" si="4"/>
        <v>0.25</v>
      </c>
      <c r="T16" s="15">
        <f t="shared" si="5"/>
        <v>360</v>
      </c>
      <c r="U16" s="12" t="s">
        <v>157</v>
      </c>
      <c r="V16" s="12">
        <v>0.0</v>
      </c>
      <c r="W16" s="12" t="s">
        <v>62</v>
      </c>
      <c r="X16" s="12"/>
      <c r="Y16" s="12" t="s">
        <v>64</v>
      </c>
      <c r="Z16" s="12">
        <v>1.0</v>
      </c>
      <c r="AA16" s="12">
        <v>2.0</v>
      </c>
      <c r="AB16" s="12" t="s">
        <v>158</v>
      </c>
      <c r="AC16" s="12" t="s">
        <v>66</v>
      </c>
      <c r="AD16" s="12" t="s">
        <v>62</v>
      </c>
      <c r="AE16" s="12">
        <v>2.0</v>
      </c>
      <c r="AF16" s="12">
        <v>1.0</v>
      </c>
      <c r="AG16" s="12" t="s">
        <v>159</v>
      </c>
      <c r="AH16" s="12">
        <v>1.0</v>
      </c>
      <c r="AI16" s="12">
        <v>4.0</v>
      </c>
      <c r="AJ16" s="12">
        <v>0.0</v>
      </c>
      <c r="AK16" s="12">
        <v>25.0</v>
      </c>
      <c r="AL16" s="12">
        <f t="shared" si="6"/>
        <v>0</v>
      </c>
      <c r="AM16" s="12">
        <v>0.0</v>
      </c>
      <c r="AN16" s="12">
        <v>1.0</v>
      </c>
      <c r="AO16" s="12">
        <v>1.0</v>
      </c>
      <c r="AP16" s="12">
        <v>1.0</v>
      </c>
      <c r="AQ16" s="12" t="s">
        <v>77</v>
      </c>
      <c r="AR16" s="12">
        <v>3.0</v>
      </c>
      <c r="AS16" s="12">
        <v>11.9</v>
      </c>
      <c r="AT16" s="12" t="s">
        <v>160</v>
      </c>
      <c r="AU16" s="12" t="s">
        <v>161</v>
      </c>
      <c r="AV16" s="12">
        <v>0.0</v>
      </c>
      <c r="AW16" s="12">
        <v>1.0</v>
      </c>
      <c r="AX16" s="12"/>
      <c r="AY16" s="13">
        <v>45565.0</v>
      </c>
      <c r="AZ16" s="12" t="s">
        <v>62</v>
      </c>
      <c r="BA16" s="12" t="s">
        <v>62</v>
      </c>
      <c r="BB16" s="13" t="str">
        <f t="shared" si="7"/>
        <v>#VALUE!</v>
      </c>
      <c r="BC16" s="12" t="s">
        <v>62</v>
      </c>
      <c r="BD16" s="12">
        <v>0.0</v>
      </c>
      <c r="BE16" s="12" t="s">
        <v>62</v>
      </c>
      <c r="BF16" s="12" t="s">
        <v>62</v>
      </c>
      <c r="BG16" s="12">
        <f t="shared" si="8"/>
        <v>92</v>
      </c>
    </row>
    <row r="17" ht="15.75" customHeight="1">
      <c r="A17" s="11" t="s">
        <v>59</v>
      </c>
      <c r="B17" s="12" t="s">
        <v>162</v>
      </c>
      <c r="C17" s="12">
        <v>2.3595166E7</v>
      </c>
      <c r="D17" s="13">
        <v>20710.0</v>
      </c>
      <c r="E17" s="13">
        <v>45578.0</v>
      </c>
      <c r="F17" s="13">
        <v>45601.0</v>
      </c>
      <c r="G17" s="13">
        <v>45579.0</v>
      </c>
      <c r="H17" s="12">
        <f t="shared" si="1"/>
        <v>68.13424658</v>
      </c>
      <c r="I17" s="12">
        <v>0.0</v>
      </c>
      <c r="J17" s="12">
        <f t="shared" si="2"/>
        <v>23</v>
      </c>
      <c r="K17" s="12">
        <v>0.0</v>
      </c>
      <c r="L17" s="12">
        <v>71.9</v>
      </c>
      <c r="M17" s="12">
        <v>1.76</v>
      </c>
      <c r="N17" s="14">
        <f t="shared" si="3"/>
        <v>23.2115186</v>
      </c>
      <c r="O17" s="12">
        <v>2.0</v>
      </c>
      <c r="P17" s="12" t="s">
        <v>163</v>
      </c>
      <c r="Q17" s="15">
        <v>0.5381944444444444</v>
      </c>
      <c r="R17" s="15">
        <v>0.7618055555555556</v>
      </c>
      <c r="S17" s="16">
        <f t="shared" si="4"/>
        <v>0.2236111111</v>
      </c>
      <c r="T17" s="15">
        <f t="shared" si="5"/>
        <v>322</v>
      </c>
      <c r="U17" s="12" t="s">
        <v>164</v>
      </c>
      <c r="V17" s="12">
        <v>0.0</v>
      </c>
      <c r="W17" s="12" t="s">
        <v>62</v>
      </c>
      <c r="X17" s="12" t="s">
        <v>66</v>
      </c>
      <c r="Y17" s="12" t="s">
        <v>64</v>
      </c>
      <c r="Z17" s="12">
        <v>1.0</v>
      </c>
      <c r="AA17" s="12">
        <v>2.0</v>
      </c>
      <c r="AB17" s="12" t="s">
        <v>165</v>
      </c>
      <c r="AC17" s="12" t="s">
        <v>66</v>
      </c>
      <c r="AD17" s="12" t="s">
        <v>62</v>
      </c>
      <c r="AE17" s="12" t="s">
        <v>67</v>
      </c>
      <c r="AF17" s="12">
        <v>1.0</v>
      </c>
      <c r="AG17" s="12" t="s">
        <v>166</v>
      </c>
      <c r="AH17" s="12">
        <v>1.0</v>
      </c>
      <c r="AI17" s="12">
        <v>5.0</v>
      </c>
      <c r="AJ17" s="12">
        <v>1.0</v>
      </c>
      <c r="AK17" s="12">
        <v>30.0</v>
      </c>
      <c r="AL17" s="12">
        <f t="shared" si="6"/>
        <v>0.03333333333</v>
      </c>
      <c r="AM17" s="12">
        <v>1.0</v>
      </c>
      <c r="AN17" s="12">
        <v>1.0</v>
      </c>
      <c r="AO17" s="12">
        <v>1.0</v>
      </c>
      <c r="AP17" s="12">
        <v>1.0</v>
      </c>
      <c r="AQ17" s="12" t="s">
        <v>66</v>
      </c>
      <c r="AR17" s="12">
        <v>5.2</v>
      </c>
      <c r="AS17" s="12">
        <v>12.9</v>
      </c>
      <c r="AT17" s="12" t="s">
        <v>167</v>
      </c>
      <c r="AU17" s="12"/>
      <c r="AV17" s="12">
        <v>0.0</v>
      </c>
      <c r="AW17" s="12">
        <v>1.0</v>
      </c>
      <c r="AX17" s="12" t="s">
        <v>71</v>
      </c>
      <c r="AY17" s="13">
        <v>45616.0</v>
      </c>
      <c r="AZ17" s="12" t="s">
        <v>62</v>
      </c>
      <c r="BA17" s="12" t="s">
        <v>62</v>
      </c>
      <c r="BB17" s="12" t="s">
        <v>62</v>
      </c>
      <c r="BC17" s="12" t="s">
        <v>62</v>
      </c>
      <c r="BD17" s="12">
        <v>0.0</v>
      </c>
      <c r="BE17" s="12" t="s">
        <v>62</v>
      </c>
      <c r="BF17" s="12" t="s">
        <v>62</v>
      </c>
      <c r="BG17" s="12">
        <f t="shared" si="8"/>
        <v>38</v>
      </c>
    </row>
    <row r="18" ht="15.75" customHeight="1">
      <c r="A18" s="11" t="s">
        <v>59</v>
      </c>
      <c r="B18" s="12" t="s">
        <v>168</v>
      </c>
      <c r="C18" s="12">
        <v>1.5794371E7</v>
      </c>
      <c r="D18" s="13">
        <v>18571.0</v>
      </c>
      <c r="E18" s="13">
        <v>45587.0</v>
      </c>
      <c r="F18" s="13">
        <v>45618.0</v>
      </c>
      <c r="G18" s="13">
        <v>45587.0</v>
      </c>
      <c r="H18" s="12">
        <f t="shared" si="1"/>
        <v>74.01643836</v>
      </c>
      <c r="I18" s="12">
        <v>1.0</v>
      </c>
      <c r="J18" s="12">
        <f t="shared" si="2"/>
        <v>31</v>
      </c>
      <c r="K18" s="12">
        <v>0.0</v>
      </c>
      <c r="L18" s="12">
        <v>78.0</v>
      </c>
      <c r="M18" s="12">
        <v>1.64</v>
      </c>
      <c r="N18" s="14">
        <f t="shared" si="3"/>
        <v>29.00059488</v>
      </c>
      <c r="O18" s="12">
        <v>2.0</v>
      </c>
      <c r="P18" s="12" t="s">
        <v>169</v>
      </c>
      <c r="Q18" s="15">
        <v>0.5208333333333334</v>
      </c>
      <c r="R18" s="15">
        <v>0.7361111111111112</v>
      </c>
      <c r="S18" s="16">
        <f t="shared" si="4"/>
        <v>0.2152777778</v>
      </c>
      <c r="T18" s="15">
        <f t="shared" si="5"/>
        <v>310</v>
      </c>
      <c r="U18" s="12" t="s">
        <v>170</v>
      </c>
      <c r="V18" s="12">
        <v>0.0</v>
      </c>
      <c r="W18" s="12" t="s">
        <v>62</v>
      </c>
      <c r="X18" s="12" t="s">
        <v>66</v>
      </c>
      <c r="Y18" s="12" t="s">
        <v>64</v>
      </c>
      <c r="Z18" s="12">
        <v>1.0</v>
      </c>
      <c r="AA18" s="12">
        <v>2.0</v>
      </c>
      <c r="AB18" s="12" t="s">
        <v>171</v>
      </c>
      <c r="AC18" s="12" t="s">
        <v>172</v>
      </c>
      <c r="AD18" s="12">
        <v>2.0</v>
      </c>
      <c r="AE18" s="12">
        <v>4.0</v>
      </c>
      <c r="AF18" s="12">
        <v>0.0</v>
      </c>
      <c r="AG18" s="12" t="s">
        <v>62</v>
      </c>
      <c r="AH18" s="12">
        <v>0.0</v>
      </c>
      <c r="AI18" s="12">
        <v>0.0</v>
      </c>
      <c r="AJ18" s="12">
        <v>3.0</v>
      </c>
      <c r="AK18" s="12">
        <v>24.0</v>
      </c>
      <c r="AL18" s="12">
        <f t="shared" si="6"/>
        <v>0.125</v>
      </c>
      <c r="AM18" s="12">
        <v>1.0</v>
      </c>
      <c r="AN18" s="12">
        <v>1.0</v>
      </c>
      <c r="AO18" s="12">
        <v>1.0</v>
      </c>
      <c r="AP18" s="12">
        <v>1.0</v>
      </c>
      <c r="AQ18" s="12" t="s">
        <v>66</v>
      </c>
      <c r="AR18" s="12">
        <v>11.0</v>
      </c>
      <c r="AS18" s="12">
        <v>14.0</v>
      </c>
      <c r="AT18" s="12" t="s">
        <v>173</v>
      </c>
      <c r="AU18" s="12"/>
      <c r="AV18" s="12">
        <v>0.0</v>
      </c>
      <c r="AW18" s="12">
        <v>1.0</v>
      </c>
      <c r="AX18" s="12" t="s">
        <v>71</v>
      </c>
      <c r="AY18" s="13">
        <v>45617.0</v>
      </c>
      <c r="AZ18" s="12" t="s">
        <v>62</v>
      </c>
      <c r="BA18" s="12" t="s">
        <v>62</v>
      </c>
      <c r="BB18" s="12" t="s">
        <v>62</v>
      </c>
      <c r="BC18" s="12" t="s">
        <v>62</v>
      </c>
      <c r="BD18" s="12">
        <v>0.0</v>
      </c>
      <c r="BE18" s="12" t="s">
        <v>62</v>
      </c>
      <c r="BF18" s="12" t="s">
        <v>62</v>
      </c>
      <c r="BG18" s="12">
        <f t="shared" si="8"/>
        <v>30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2024-12-04T08:47:14Z</dcterms:created>
  <dc:creator>REGENET Nicolas</dc:creator>
</cp:coreProperties>
</file>