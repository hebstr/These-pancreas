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regenet\Desktop\"/>
    </mc:Choice>
  </mc:AlternateContent>
  <bookViews>
    <workbookView xWindow="0" yWindow="0" windowWidth="28800" windowHeight="1359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C6" i="1" l="1"/>
  <c r="FW6" i="1"/>
  <c r="FS6" i="1"/>
  <c r="FO6" i="1"/>
  <c r="FC6" i="1"/>
  <c r="EL6" i="1"/>
  <c r="DK6" i="1"/>
  <c r="DI6" i="1"/>
  <c r="DC6" i="1"/>
  <c r="DA6" i="1"/>
  <c r="CD6" i="1"/>
  <c r="AN6" i="1"/>
  <c r="AO6" i="1" s="1"/>
  <c r="AA6" i="1"/>
  <c r="W6" i="1"/>
  <c r="V6" i="1"/>
  <c r="GC5" i="1"/>
  <c r="FS5" i="1"/>
  <c r="FO5" i="1"/>
  <c r="FC5" i="1"/>
  <c r="EL5" i="1"/>
  <c r="DK5" i="1"/>
  <c r="DI5" i="1"/>
  <c r="DC5" i="1"/>
  <c r="DA5" i="1"/>
  <c r="CD5" i="1"/>
  <c r="AN5" i="1"/>
  <c r="AO5" i="1" s="1"/>
  <c r="AA5" i="1"/>
  <c r="W5" i="1"/>
  <c r="V5" i="1"/>
  <c r="GN4" i="1"/>
  <c r="GC4" i="1"/>
  <c r="FW4" i="1"/>
  <c r="FS4" i="1"/>
  <c r="FO4" i="1"/>
  <c r="FM4" i="1"/>
  <c r="FC4" i="1"/>
  <c r="EL4" i="1"/>
  <c r="DK4" i="1"/>
  <c r="DI4" i="1"/>
  <c r="DC4" i="1"/>
  <c r="DA4" i="1"/>
  <c r="CD4" i="1"/>
  <c r="AN4" i="1"/>
  <c r="AO4" i="1" s="1"/>
  <c r="AA4" i="1"/>
  <c r="W4" i="1"/>
  <c r="V4" i="1"/>
  <c r="GN3" i="1"/>
  <c r="GC3" i="1"/>
  <c r="FW3" i="1"/>
  <c r="FS3" i="1"/>
  <c r="FO3" i="1"/>
  <c r="FM3" i="1"/>
  <c r="FC3" i="1"/>
  <c r="EL3" i="1"/>
  <c r="DK3" i="1"/>
  <c r="DI3" i="1"/>
  <c r="DC3" i="1"/>
  <c r="DA3" i="1"/>
  <c r="CD3" i="1"/>
  <c r="AN3" i="1"/>
  <c r="AO3" i="1" s="1"/>
  <c r="AA3" i="1"/>
  <c r="W3" i="1"/>
  <c r="V3" i="1"/>
  <c r="GN2" i="1"/>
  <c r="FW2" i="1"/>
  <c r="FS2" i="1"/>
  <c r="FO2" i="1"/>
  <c r="FM2" i="1"/>
  <c r="FC2" i="1"/>
  <c r="DC2" i="1"/>
  <c r="DA2" i="1"/>
  <c r="CD2" i="1"/>
  <c r="AN2" i="1"/>
  <c r="AO2" i="1" s="1"/>
  <c r="AA2" i="1"/>
  <c r="W2" i="1"/>
  <c r="V2" i="1"/>
</calcChain>
</file>

<file path=xl/comments1.xml><?xml version="1.0" encoding="utf-8"?>
<comments xmlns="http://schemas.openxmlformats.org/spreadsheetml/2006/main">
  <authors>
    <author>aurélie</author>
  </authors>
  <commentList>
    <comment ref="GJ1" authorId="0" shapeId="0">
      <text>
        <r>
          <rPr>
            <b/>
            <sz val="9"/>
            <color indexed="81"/>
            <rFont val="Tahoma"/>
            <family val="2"/>
          </rPr>
          <t>aurélie:</t>
        </r>
        <r>
          <rPr>
            <sz val="9"/>
            <color indexed="81"/>
            <rFont val="Tahoma"/>
            <family val="2"/>
          </rPr>
          <t xml:space="preserve">
0: Non
1: Oui (Nb de selles par jours)</t>
        </r>
      </text>
    </comment>
    <comment ref="GL1" authorId="0" shapeId="0">
      <text>
        <r>
          <rPr>
            <b/>
            <sz val="9"/>
            <color indexed="81"/>
            <rFont val="Tahoma"/>
            <family val="2"/>
          </rPr>
          <t>aurélie:</t>
        </r>
        <r>
          <rPr>
            <sz val="9"/>
            <color indexed="81"/>
            <rFont val="Tahoma"/>
            <family val="2"/>
          </rPr>
          <t xml:space="preserve">
0: Non
1: Oui</t>
        </r>
      </text>
    </comment>
    <comment ref="GO1" authorId="0" shapeId="0">
      <text>
        <r>
          <rPr>
            <b/>
            <sz val="9"/>
            <color indexed="81"/>
            <rFont val="Tahoma"/>
            <family val="2"/>
          </rPr>
          <t>aurélie:</t>
        </r>
        <r>
          <rPr>
            <sz val="9"/>
            <color indexed="81"/>
            <rFont val="Tahoma"/>
            <family val="2"/>
          </rPr>
          <t xml:space="preserve">
0: &lt; 1,26g/L 
1: &gt; 1,26g/L sur 2 mesures</t>
        </r>
      </text>
    </comment>
    <comment ref="GT1" authorId="0" shapeId="0">
      <text>
        <r>
          <rPr>
            <b/>
            <sz val="9"/>
            <color indexed="81"/>
            <rFont val="Tahoma"/>
            <family val="2"/>
          </rPr>
          <t>aurélie:</t>
        </r>
        <r>
          <rPr>
            <sz val="9"/>
            <color indexed="81"/>
            <rFont val="Tahoma"/>
            <family val="2"/>
          </rPr>
          <t xml:space="preserve">
Nombres de comprimés par jour</t>
        </r>
      </text>
    </comment>
    <comment ref="GX1" authorId="0" shapeId="0">
      <text>
        <r>
          <rPr>
            <b/>
            <sz val="9"/>
            <color indexed="81"/>
            <rFont val="Tahoma"/>
            <family val="2"/>
          </rPr>
          <t>aurélie:</t>
        </r>
        <r>
          <rPr>
            <sz val="9"/>
            <color indexed="81"/>
            <rFont val="Tahoma"/>
            <family val="2"/>
          </rPr>
          <t xml:space="preserve">
0: non
1: Oui</t>
        </r>
      </text>
    </comment>
    <comment ref="GZ1" authorId="0" shapeId="0">
      <text>
        <r>
          <rPr>
            <b/>
            <sz val="9"/>
            <color indexed="81"/>
            <rFont val="Tahoma"/>
            <family val="2"/>
          </rPr>
          <t>aurélie:</t>
        </r>
        <r>
          <rPr>
            <sz val="9"/>
            <color indexed="81"/>
            <rFont val="Tahoma"/>
            <family val="2"/>
          </rPr>
          <t xml:space="preserve">
0: Non
1: Oui (Nb de selles par jours)</t>
        </r>
      </text>
    </comment>
    <comment ref="HB1" authorId="0" shapeId="0">
      <text>
        <r>
          <rPr>
            <b/>
            <sz val="9"/>
            <color indexed="81"/>
            <rFont val="Tahoma"/>
            <family val="2"/>
          </rPr>
          <t>aurélie:</t>
        </r>
        <r>
          <rPr>
            <sz val="9"/>
            <color indexed="81"/>
            <rFont val="Tahoma"/>
            <family val="2"/>
          </rPr>
          <t xml:space="preserve">
0: Non
1: Oui</t>
        </r>
      </text>
    </comment>
    <comment ref="HE1" authorId="0" shapeId="0">
      <text>
        <r>
          <rPr>
            <b/>
            <sz val="9"/>
            <color indexed="81"/>
            <rFont val="Tahoma"/>
            <family val="2"/>
          </rPr>
          <t>aurélie:</t>
        </r>
        <r>
          <rPr>
            <sz val="9"/>
            <color indexed="81"/>
            <rFont val="Tahoma"/>
            <family val="2"/>
          </rPr>
          <t xml:space="preserve">
0: &lt; 1,26g/L 
1: &gt; 1,26g/L sur 2 mesures</t>
        </r>
      </text>
    </comment>
    <comment ref="HJ1" authorId="0" shapeId="0">
      <text>
        <r>
          <rPr>
            <b/>
            <sz val="9"/>
            <color indexed="81"/>
            <rFont val="Tahoma"/>
            <family val="2"/>
          </rPr>
          <t>aurélie:</t>
        </r>
        <r>
          <rPr>
            <sz val="9"/>
            <color indexed="81"/>
            <rFont val="Tahoma"/>
            <family val="2"/>
          </rPr>
          <t xml:space="preserve">
Nombres de comprimés par jour</t>
        </r>
      </text>
    </comment>
    <comment ref="HN1" authorId="0" shapeId="0">
      <text>
        <r>
          <rPr>
            <b/>
            <sz val="9"/>
            <color indexed="81"/>
            <rFont val="Tahoma"/>
            <family val="2"/>
          </rPr>
          <t>aurélie:</t>
        </r>
        <r>
          <rPr>
            <sz val="9"/>
            <color indexed="81"/>
            <rFont val="Tahoma"/>
            <family val="2"/>
          </rPr>
          <t xml:space="preserve">
0: non
1: Oui</t>
        </r>
      </text>
    </comment>
  </commentList>
</comments>
</file>

<file path=xl/sharedStrings.xml><?xml version="1.0" encoding="utf-8"?>
<sst xmlns="http://schemas.openxmlformats.org/spreadsheetml/2006/main" count="590" uniqueCount="310">
  <si>
    <t>ville</t>
  </si>
  <si>
    <t>Initial</t>
  </si>
  <si>
    <t>Identifiant</t>
  </si>
  <si>
    <t>Date de naissance</t>
  </si>
  <si>
    <t>Date d'entrée</t>
  </si>
  <si>
    <t>Date de sortie</t>
  </si>
  <si>
    <t>date d'opération</t>
  </si>
  <si>
    <t>pg=0spg=1</t>
  </si>
  <si>
    <t>TYPE D'INTERVENTION(1=DPC;0=SPG)</t>
  </si>
  <si>
    <t>geste associés 1=oui;0=non</t>
  </si>
  <si>
    <t>gastrectomie 1=oui</t>
  </si>
  <si>
    <t>colectomie 1=oui</t>
  </si>
  <si>
    <t>nephrectomie et /ou surrenele 1=oui</t>
  </si>
  <si>
    <t xml:space="preserve">nbre d'organe reseque + 1 pour rate </t>
  </si>
  <si>
    <t>type de geste associé</t>
  </si>
  <si>
    <t>résection veine splénique non=0;oui=1</t>
  </si>
  <si>
    <t>section pancreas 1=mecanique;0=manuelle</t>
  </si>
  <si>
    <t>localisation de section0=isthme;1=corps</t>
  </si>
  <si>
    <t>fermeture elective wirsung 0=non;1=oui</t>
  </si>
  <si>
    <t>aspect pancreas : ferme=2/normal=1/mou=0</t>
  </si>
  <si>
    <t>pancreatite chronique oui=1;non=0</t>
  </si>
  <si>
    <t>AGE A L'INTERVENTION (ans)</t>
  </si>
  <si>
    <t>durée d'hospitalisation</t>
  </si>
  <si>
    <t>sexe(F=1;M=0)</t>
  </si>
  <si>
    <t>poids</t>
  </si>
  <si>
    <t>taille</t>
  </si>
  <si>
    <t>BMI</t>
  </si>
  <si>
    <t>ASA</t>
  </si>
  <si>
    <t>Antécédent médicaux</t>
  </si>
  <si>
    <t>Diabete (oui=1)</t>
  </si>
  <si>
    <t>HTA (oui=1</t>
  </si>
  <si>
    <t>Antécédent chirurgicaux</t>
  </si>
  <si>
    <t>cœur</t>
  </si>
  <si>
    <t>poumon</t>
  </si>
  <si>
    <t>allergie</t>
  </si>
  <si>
    <t>tt néoadjuvant</t>
  </si>
  <si>
    <t>Drainage pré op ( prothese biliaire)</t>
  </si>
  <si>
    <t>heure incision</t>
  </si>
  <si>
    <t>heure fermeture</t>
  </si>
  <si>
    <t>durée op</t>
  </si>
  <si>
    <t>durée min</t>
  </si>
  <si>
    <t>sando / somatuline per op</t>
  </si>
  <si>
    <t>drainage biliaire (oui=1)</t>
  </si>
  <si>
    <t>Habituelle (oui=1)</t>
  </si>
  <si>
    <t>différence du drainage habituelle</t>
  </si>
  <si>
    <t>diagnostique préop</t>
  </si>
  <si>
    <t>SUV pet scann</t>
  </si>
  <si>
    <t>conservation pylorique (oui=1)</t>
  </si>
  <si>
    <t>jéjunostomie (oui=1)</t>
  </si>
  <si>
    <t>résection veine port  (oui=1)</t>
  </si>
  <si>
    <t>drainage radiologique  (oui=1)</t>
  </si>
  <si>
    <t>cause drainage</t>
  </si>
  <si>
    <t>date</t>
  </si>
  <si>
    <t>jours drainage post-op</t>
  </si>
  <si>
    <t>ré op  (oui=1)</t>
  </si>
  <si>
    <t>cause ré op</t>
  </si>
  <si>
    <t>jours post-op ré op</t>
  </si>
  <si>
    <t>anapath : ampullome, adenocarcinomeP(1), TIPMP(2),adeKG(3),PA(0),PC(4),CM(5),CS(6),TNE(7),Tstrom(8),PAI(9),metarein(10),tumsurrénal(11),Cepi(13),14 tpps</t>
  </si>
  <si>
    <t>localisation</t>
  </si>
  <si>
    <t>anapath PLUS</t>
  </si>
  <si>
    <t>si adenocarcinome : type</t>
  </si>
  <si>
    <t>degre de diff 0=bien,1=moy,2=peu</t>
  </si>
  <si>
    <t>taille tumeur en cm</t>
  </si>
  <si>
    <t>si adenocarcinome : t</t>
  </si>
  <si>
    <t>si adenocarcinome : n</t>
  </si>
  <si>
    <t>si adenocarcinome : m</t>
  </si>
  <si>
    <t>site du M1 0=gg interAoCav;1=CP;2=MH</t>
  </si>
  <si>
    <t>si adenocarcinome : r</t>
  </si>
  <si>
    <t>stade tumoral</t>
  </si>
  <si>
    <t>localisation du R1</t>
  </si>
  <si>
    <t>Ki67(%)</t>
  </si>
  <si>
    <t>index de proliferation(*10chps/400)</t>
  </si>
  <si>
    <t>MIB1 (%)</t>
  </si>
  <si>
    <t>TIPMP 1=oui,0=non</t>
  </si>
  <si>
    <t>TIPMP (canal primaire1, secondaire2 mix3)</t>
  </si>
  <si>
    <t>typede cancer 1=tubulaire,2=colloid,0=normal,3=oncocytaire</t>
  </si>
  <si>
    <t>origine de tipmp 0=intes;1=pancreatobil;2=gastric;3=oncocy</t>
  </si>
  <si>
    <t>gg+(1=oui;0=non)</t>
  </si>
  <si>
    <t>Nombre de ganglions envahis</t>
  </si>
  <si>
    <t>Nombre de ganglion observés</t>
  </si>
  <si>
    <t>RATIO gg+/gg</t>
  </si>
  <si>
    <t>Embol peri-nerveux  (oui=1)</t>
  </si>
  <si>
    <t>Echo endo pré op  (oui=1)</t>
  </si>
  <si>
    <t>diagnostique echo endo</t>
  </si>
  <si>
    <t>scanner pré op  (oui=1)</t>
  </si>
  <si>
    <t>diagnostique scanner</t>
  </si>
  <si>
    <t>taux de bilirubine préop</t>
  </si>
  <si>
    <t>taux d'hémoglobine pré op</t>
  </si>
  <si>
    <t>marqueur tumoraux (ca 19,9)</t>
  </si>
  <si>
    <t>marqueur tumoraux (ca 19,9)post op</t>
  </si>
  <si>
    <t>bile infecté  (oui=1)</t>
  </si>
  <si>
    <t>antibio en réa (???) ou  au sein du service</t>
  </si>
  <si>
    <t>date dbt</t>
  </si>
  <si>
    <t>taux d'hémoglobine post op</t>
  </si>
  <si>
    <t>durée du séjour en réa</t>
  </si>
  <si>
    <t>transfusion per op  (oui=1)</t>
  </si>
  <si>
    <t>culot transfusé per op</t>
  </si>
  <si>
    <t>vol perte sanguine(ml)</t>
  </si>
  <si>
    <t>transfusion  (oui=1)</t>
  </si>
  <si>
    <t>nombre de culot transfusé tot</t>
  </si>
  <si>
    <t>transfusion pre op,  per op, post op</t>
  </si>
  <si>
    <t>date J3 amylase</t>
  </si>
  <si>
    <t>J3                  volume du liquide dans le drain (en ml)</t>
  </si>
  <si>
    <t>J3                             amylase dans le drain (µKat/l)</t>
  </si>
  <si>
    <t>J3                             amylase dans le drain (ui/l)</t>
  </si>
  <si>
    <t>J3                    amylase dans le sang</t>
  </si>
  <si>
    <t>3                    amylase dans le sang (ui/l)</t>
  </si>
  <si>
    <t>Fistule à J3</t>
  </si>
  <si>
    <t>grade fistule 0=0;1=A;2=B;3=C</t>
  </si>
  <si>
    <t>date J5 amylase</t>
  </si>
  <si>
    <t>J5                 volume du liquide dans le drain (en ml)</t>
  </si>
  <si>
    <t>J5                            amylase dans le drain (µKat/l)</t>
  </si>
  <si>
    <t>J5                            amylase dans le drain (ui/l)</t>
  </si>
  <si>
    <t>J5                 amylase dans le sang</t>
  </si>
  <si>
    <t>J5                 amylase dans le sang (ui/l)</t>
  </si>
  <si>
    <t>Fistule à J5</t>
  </si>
  <si>
    <t>collection à l'echo  (oui=1)</t>
  </si>
  <si>
    <t>complication  (oui=1)</t>
  </si>
  <si>
    <t>complicationselon clavienfistule (0=rien,1=, 2=autre tt+transfu, 3=ttchir ou Rx,4=Hrea dysfonction org,5=Dc)</t>
  </si>
  <si>
    <t>Infection urinaire  (oui=1)</t>
  </si>
  <si>
    <t xml:space="preserve"> fistule pancréatique  (oui=1)</t>
  </si>
  <si>
    <t>gastroparésie  (oui=1)</t>
  </si>
  <si>
    <t xml:space="preserve"> autres  (oui=1)</t>
  </si>
  <si>
    <t>autres=</t>
  </si>
  <si>
    <t>pancréatite (oui=1)</t>
  </si>
  <si>
    <t>pulmonaire (oui=1)</t>
  </si>
  <si>
    <t>préciser</t>
  </si>
  <si>
    <t>cardiaque (oui=1)</t>
  </si>
  <si>
    <t>thrombo-embol (oui=1)</t>
  </si>
  <si>
    <t>rénale (oui=1)</t>
  </si>
  <si>
    <t>AVC (oui=1)</t>
  </si>
  <si>
    <t>infection  (oui=1)</t>
  </si>
  <si>
    <t>hemorragie (oui=1)</t>
  </si>
  <si>
    <t>abces de paroi (oui=1)</t>
  </si>
  <si>
    <t>abces profond (oui=1)</t>
  </si>
  <si>
    <t>somatuline, sandostatine, rien,  dm</t>
  </si>
  <si>
    <t>date début somatuline</t>
  </si>
  <si>
    <t>date fin somatuline</t>
  </si>
  <si>
    <t>jour post op somatuline</t>
  </si>
  <si>
    <t>gastroparésie (prise d'Erythromicine) (oui=1)</t>
  </si>
  <si>
    <t>date début érythro</t>
  </si>
  <si>
    <t>date fin érythro</t>
  </si>
  <si>
    <t>durée érythro</t>
  </si>
  <si>
    <t>gastroparésie resolutive : erythromicine (oui=1, non=0)</t>
  </si>
  <si>
    <t>gastroparésie ( FOGD réalisé)</t>
  </si>
  <si>
    <t>date FOGD</t>
  </si>
  <si>
    <t>bilan FOGD</t>
  </si>
  <si>
    <t>gastroparésie resolutive : fibro FOGD (oui=1, non=0)</t>
  </si>
  <si>
    <t>nutrition enteral</t>
  </si>
  <si>
    <t>nutrition parenterale</t>
  </si>
  <si>
    <t>date début entéral</t>
  </si>
  <si>
    <t>date fin enteral</t>
  </si>
  <si>
    <t>delai ent</t>
  </si>
  <si>
    <t>Durée enteral</t>
  </si>
  <si>
    <t>date reprise alimenta°</t>
  </si>
  <si>
    <t>jour réintroduction alimentation  post op</t>
  </si>
  <si>
    <t>convalescence à la sortie (oui=1, non=0)</t>
  </si>
  <si>
    <t>déces en hospit  (oui=1)</t>
  </si>
  <si>
    <t>chimio1 / radio2 / radio chimio3</t>
  </si>
  <si>
    <t>Type chimio 1 er ttt</t>
  </si>
  <si>
    <t>en vie jusqu'au</t>
  </si>
  <si>
    <t>deces suivi connu  (oui=1)</t>
  </si>
  <si>
    <t>cause du décès</t>
  </si>
  <si>
    <t>Recidive(0=CP,1=MH,2=MP,3=RLR)</t>
  </si>
  <si>
    <t>date recidive</t>
  </si>
  <si>
    <t>delai recidive</t>
  </si>
  <si>
    <t>tt recidive(0=soin,1=CT,2=RCT,3=RT,4=autre)</t>
  </si>
  <si>
    <t>durée du suivi</t>
  </si>
  <si>
    <t>Apparition d'un diabète(oui=1;non=0)</t>
  </si>
  <si>
    <t>ttt antidiabétique oraux ou insuline</t>
  </si>
  <si>
    <t>date diab</t>
  </si>
  <si>
    <t>delai diabete</t>
  </si>
  <si>
    <t>prise d'extrait pancréatique</t>
  </si>
  <si>
    <t>lequel</t>
  </si>
  <si>
    <t>date ipe</t>
  </si>
  <si>
    <t>delai IPE</t>
  </si>
  <si>
    <t>autre opération (oui=1, non=0)</t>
  </si>
  <si>
    <t>poid de la piece (g)</t>
  </si>
  <si>
    <t>volume de la piece en cm</t>
  </si>
  <si>
    <t>volume pancreas total(cc)</t>
  </si>
  <si>
    <t>volume pancreas restant(cc)</t>
  </si>
  <si>
    <t>volume resequé (%)</t>
  </si>
  <si>
    <t>glycemie preop</t>
  </si>
  <si>
    <t>alb pre op</t>
  </si>
  <si>
    <t>hbA1C preop</t>
  </si>
  <si>
    <t>diam wirsung preop</t>
  </si>
  <si>
    <t>epaisseur à isthme preop</t>
  </si>
  <si>
    <t>1 mois date de consultation</t>
  </si>
  <si>
    <t>Diarrhée</t>
  </si>
  <si>
    <t>Stéatorrhée clinique</t>
  </si>
  <si>
    <t>Dénutrition</t>
  </si>
  <si>
    <t>Poids 1 mois</t>
  </si>
  <si>
    <t>BMI1 mois</t>
  </si>
  <si>
    <t>GAJ (en g/L)1 mois</t>
  </si>
  <si>
    <t>HbA1c1 mois</t>
  </si>
  <si>
    <t>Test Concentration en élastase fécale (µgE1/g selle)1 mois</t>
  </si>
  <si>
    <t>Albuminémie1 mois</t>
  </si>
  <si>
    <t>diabéte de NOVO</t>
  </si>
  <si>
    <t>Prise extrait pancréatique</t>
  </si>
  <si>
    <t>Volume du pancréas restant</t>
  </si>
  <si>
    <t>Taille du CPP</t>
  </si>
  <si>
    <t>Epaisseur du pancréas (mm)</t>
  </si>
  <si>
    <t>Sténose de l'anastomose pancréatico-digestive</t>
  </si>
  <si>
    <t>6 mois date de consultation</t>
  </si>
  <si>
    <t>Diarrhée 6 mois</t>
  </si>
  <si>
    <t>Dénutrition 6 mois</t>
  </si>
  <si>
    <t>Poids 6 mois</t>
  </si>
  <si>
    <t>BMI6 mois</t>
  </si>
  <si>
    <t>GAJ (en g/L)6 mois</t>
  </si>
  <si>
    <t>HbA1c6 mois</t>
  </si>
  <si>
    <t>Test Concentration en élastase fécale6 mois</t>
  </si>
  <si>
    <t>Albuminémie6 mois</t>
  </si>
  <si>
    <t>Prise extrait pancréatique6 mois</t>
  </si>
  <si>
    <t>Volume du pancréas restant (%)6 mois</t>
  </si>
  <si>
    <t>Taille du CPP6 mois</t>
  </si>
  <si>
    <t>Epaisseur du pancréas (mm)6 mois</t>
  </si>
  <si>
    <t>Sténose de l'anastomose pancréatico-digestive6 mois</t>
  </si>
  <si>
    <t>CRP à J1</t>
  </si>
  <si>
    <t>CRP à J2</t>
  </si>
  <si>
    <t>CRP à J3</t>
  </si>
  <si>
    <t>CRP à J4</t>
  </si>
  <si>
    <t>CRP à J5</t>
  </si>
  <si>
    <t>mode op</t>
  </si>
  <si>
    <t>si oui</t>
  </si>
  <si>
    <t>nantes</t>
  </si>
  <si>
    <t>,</t>
  </si>
  <si>
    <t>pancreas</t>
  </si>
  <si>
    <t>cm</t>
  </si>
  <si>
    <t>3rl</t>
  </si>
  <si>
    <t>ADO</t>
  </si>
  <si>
    <t>coelio</t>
  </si>
  <si>
    <t>1(post)</t>
  </si>
  <si>
    <t>post</t>
  </si>
  <si>
    <t>4rl</t>
  </si>
  <si>
    <t>insuline</t>
  </si>
  <si>
    <t>laparo</t>
  </si>
  <si>
    <t>somatuline</t>
  </si>
  <si>
    <t>BOUJU Regine</t>
  </si>
  <si>
    <t>pg elargie à droite, resection lat vp</t>
  </si>
  <si>
    <t>HTA, Dyslipidemie, EP bilat</t>
  </si>
  <si>
    <t>appendicectomie,coiffe rotateur,hernie discale</t>
  </si>
  <si>
    <t>1(folfirinox 6 cures)</t>
  </si>
  <si>
    <t>adk isthmeborderline</t>
  </si>
  <si>
    <t>adk moy diff, reponse tt mTRG2(fibrose sup tumeur), engainement perinerveux,diverticule meckel,pc d'amont</t>
  </si>
  <si>
    <t>moy diff</t>
  </si>
  <si>
    <t>1c</t>
  </si>
  <si>
    <t>1a</t>
  </si>
  <si>
    <t>adk isthme</t>
  </si>
  <si>
    <t>adk isthme border</t>
  </si>
  <si>
    <t>ACE=1,2;CA19,9=7</t>
  </si>
  <si>
    <t>5rl</t>
  </si>
  <si>
    <t>300</t>
  </si>
  <si>
    <t>folfirinox 6c</t>
  </si>
  <si>
    <t>ado</t>
  </si>
  <si>
    <t>10*5*2</t>
  </si>
  <si>
    <t>ROUCHER PATRICIA</t>
  </si>
  <si>
    <t>Pg pour adk isthme borderline sur ahc</t>
  </si>
  <si>
    <t>cardiopathie ischemique, bioprothese ao, HTA,Dyslipidemie,hypothyroidie, steatofibrose, 20 PA tabac,adk endometre</t>
  </si>
  <si>
    <t>hysterectomie, adenome colique,cholecystectomie</t>
  </si>
  <si>
    <t>1 (folfirinox )</t>
  </si>
  <si>
    <t>hyper tep fdg</t>
  </si>
  <si>
    <t>adk moy diff de 5cm,ryan modifie=3,marge post+,gaine AH envahi</t>
  </si>
  <si>
    <t>adk moy diff</t>
  </si>
  <si>
    <t>adk</t>
  </si>
  <si>
    <t>adk borderline</t>
  </si>
  <si>
    <t>CA19,9=40</t>
  </si>
  <si>
    <t>CA19,9=7</t>
  </si>
  <si>
    <t>500</t>
  </si>
  <si>
    <t>ischemie 70%rate</t>
  </si>
  <si>
    <t>epanchement pleural g</t>
  </si>
  <si>
    <t>folfirinox</t>
  </si>
  <si>
    <t>creon</t>
  </si>
  <si>
    <t>13*7,5*2,5</t>
  </si>
  <si>
    <t>2rl</t>
  </si>
  <si>
    <t>appendicectomie</t>
  </si>
  <si>
    <t>SABOURIN Françoise</t>
  </si>
  <si>
    <t>spg pour cm+ colon G et surrenale partielle rein</t>
  </si>
  <si>
    <t>DNID,Erytheme noueux</t>
  </si>
  <si>
    <t>tipmp canal principal, intest?</t>
  </si>
  <si>
    <t>cis</t>
  </si>
  <si>
    <t>is</t>
  </si>
  <si>
    <t>ACE=2,1;CA19,9=12,3</t>
  </si>
  <si>
    <t>30</t>
  </si>
  <si>
    <t>abces parois</t>
  </si>
  <si>
    <t>eurobiol</t>
  </si>
  <si>
    <t>20*12*14</t>
  </si>
  <si>
    <t>majoration nodule pulmonaire</t>
  </si>
  <si>
    <t>somatuline lp60</t>
  </si>
  <si>
    <t>MERCY Thierry</t>
  </si>
  <si>
    <t>Pg pour adk caudal</t>
  </si>
  <si>
    <t>paralysie motrice, lymphome folliculaire bas grade, HTA, Hypercholesterol, myelopathie cervicarthrosic, insf respi chronique, EBO, syndrome nephrotic</t>
  </si>
  <si>
    <t>resction colique, discectomieC3,C4</t>
  </si>
  <si>
    <t>adk corp</t>
  </si>
  <si>
    <t>adk canalaire infiltrant</t>
  </si>
  <si>
    <t>ACE=2,3;CA19,9=103</t>
  </si>
  <si>
    <t>100</t>
  </si>
  <si>
    <t>10*6*4</t>
  </si>
  <si>
    <t>BOYER Alain</t>
  </si>
  <si>
    <t>PG pour adk corps</t>
  </si>
  <si>
    <t>CHC, Cirrhose child A, VO grade 2, AIT, Cardiopathie ischemique, HTA, Carcinome glotte</t>
  </si>
  <si>
    <t>Cryo CHC, Laryngectomie, chir epaule</t>
  </si>
  <si>
    <t>abdk/tipmp</t>
  </si>
  <si>
    <t>adk canalaire moy diff</t>
  </si>
  <si>
    <t>adk corps</t>
  </si>
  <si>
    <t>CA19,9=93,2</t>
  </si>
  <si>
    <t>ACE=1,29;CA19,9=41,7</t>
  </si>
  <si>
    <t>60</t>
  </si>
  <si>
    <t>necrose rate 60%; chyloperitoine</t>
  </si>
  <si>
    <t>ep bilat, trhombose partielle VPg</t>
  </si>
  <si>
    <t>coelio converti laparo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</si>
</sst>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"/>
    <numFmt numFmtId="165" formatCode="0.0"/>
    <numFmt numFmtId="166" formatCode="h:mm"/>
    <numFmt numFmtId="167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12"/>
      <name val="Calibri"/>
      <family val="2"/>
    </font>
    <font>
      <b/>
      <sz val="10"/>
      <name val="Arial"/>
      <family val="2"/>
    </font>
    <font>
      <b/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19"/>
      </patternFill>
    </fill>
    <fill>
      <patternFill patternType="solid">
        <fgColor indexed="19"/>
        <bgColor indexed="10"/>
      </patternFill>
    </fill>
    <fill>
      <patternFill patternType="solid">
        <fgColor indexed="13"/>
        <bgColor indexed="13"/>
      </patternFill>
    </fill>
    <fill>
      <patternFill patternType="lightGray">
        <fgColor indexed="13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0" fontId="1" fillId="0" borderId="1" xfId="0" applyNumberFormat="1" applyFont="1" applyBorder="1" applyAlignment="1">
      <alignment vertical="top" wrapText="1"/>
    </xf>
    <xf numFmtId="1" fontId="1" fillId="0" borderId="1" xfId="0" applyNumberFormat="1" applyFont="1" applyBorder="1" applyAlignment="1">
      <alignment vertical="top" wrapText="1"/>
    </xf>
    <xf numFmtId="1" fontId="1" fillId="2" borderId="1" xfId="0" applyNumberFormat="1" applyFont="1" applyFill="1" applyBorder="1" applyAlignment="1">
      <alignment vertical="top" wrapText="1"/>
    </xf>
    <xf numFmtId="1" fontId="1" fillId="3" borderId="1" xfId="0" applyNumberFormat="1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2" fontId="1" fillId="0" borderId="1" xfId="0" applyNumberFormat="1" applyFont="1" applyBorder="1" applyAlignment="1">
      <alignment vertical="top" wrapText="1"/>
    </xf>
    <xf numFmtId="165" fontId="1" fillId="0" borderId="1" xfId="0" applyNumberFormat="1" applyFont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166" fontId="1" fillId="0" borderId="1" xfId="0" applyNumberFormat="1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167" fontId="2" fillId="0" borderId="1" xfId="0" applyNumberFormat="1" applyFont="1" applyBorder="1" applyAlignment="1">
      <alignment vertical="top" wrapText="1"/>
    </xf>
    <xf numFmtId="49" fontId="1" fillId="4" borderId="1" xfId="0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164" fontId="1" fillId="3" borderId="1" xfId="0" applyNumberFormat="1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NumberFormat="1" applyBorder="1"/>
    <xf numFmtId="1" fontId="0" fillId="0" borderId="1" xfId="0" applyNumberFormat="1" applyBorder="1"/>
    <xf numFmtId="1" fontId="0" fillId="2" borderId="1" xfId="0" applyNumberFormat="1" applyFill="1" applyBorder="1"/>
    <xf numFmtId="1" fontId="0" fillId="3" borderId="1" xfId="0" applyNumberFormat="1" applyFill="1" applyBorder="1"/>
    <xf numFmtId="0" fontId="0" fillId="3" borderId="1" xfId="0" applyFill="1" applyBorder="1"/>
    <xf numFmtId="165" fontId="0" fillId="0" borderId="1" xfId="0" applyNumberFormat="1" applyBorder="1"/>
    <xf numFmtId="0" fontId="0" fillId="0" borderId="1" xfId="0" applyBorder="1" applyAlignment="1">
      <alignment horizontal="right"/>
    </xf>
    <xf numFmtId="2" fontId="0" fillId="0" borderId="1" xfId="0" applyNumberFormat="1" applyBorder="1"/>
    <xf numFmtId="0" fontId="0" fillId="4" borderId="1" xfId="0" applyFill="1" applyBorder="1"/>
    <xf numFmtId="166" fontId="0" fillId="0" borderId="1" xfId="0" applyNumberFormat="1" applyBorder="1"/>
    <xf numFmtId="167" fontId="0" fillId="0" borderId="1" xfId="0" applyNumberFormat="1" applyBorder="1"/>
    <xf numFmtId="49" fontId="0" fillId="4" borderId="1" xfId="0" applyNumberFormat="1" applyFill="1" applyBorder="1"/>
    <xf numFmtId="49" fontId="0" fillId="0" borderId="1" xfId="0" applyNumberFormat="1" applyBorder="1"/>
    <xf numFmtId="164" fontId="0" fillId="3" borderId="1" xfId="0" applyNumberFormat="1" applyFill="1" applyBorder="1"/>
    <xf numFmtId="14" fontId="0" fillId="4" borderId="1" xfId="0" applyNumberFormat="1" applyFill="1" applyBorder="1"/>
    <xf numFmtId="14" fontId="0" fillId="0" borderId="1" xfId="0" applyNumberFormat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F6"/>
  <sheetViews>
    <sheetView tabSelected="1" topLeftCell="AU1" workbookViewId="0">
      <selection activeCell="BF14" sqref="BF14"/>
    </sheetView>
  </sheetViews>
  <sheetFormatPr baseColWidth="10" defaultRowHeight="15" x14ac:dyDescent="0.25"/>
  <sheetData>
    <row r="1" spans="1:240" s="1" customFormat="1" ht="10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1" t="s">
        <v>20</v>
      </c>
      <c r="V1" s="8" t="s">
        <v>21</v>
      </c>
      <c r="W1" s="9" t="s">
        <v>22</v>
      </c>
      <c r="X1" s="1" t="s">
        <v>23</v>
      </c>
      <c r="Y1" s="1" t="s">
        <v>24</v>
      </c>
      <c r="Z1" s="10" t="s">
        <v>25</v>
      </c>
      <c r="AA1" s="1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2" t="s">
        <v>34</v>
      </c>
      <c r="AJ1" s="12" t="s">
        <v>35</v>
      </c>
      <c r="AK1" s="1" t="s">
        <v>36</v>
      </c>
      <c r="AL1" s="13" t="s">
        <v>37</v>
      </c>
      <c r="AM1" s="13" t="s">
        <v>38</v>
      </c>
      <c r="AN1" s="13" t="s">
        <v>39</v>
      </c>
      <c r="AO1" s="1" t="s">
        <v>40</v>
      </c>
      <c r="AP1" s="1" t="s">
        <v>41</v>
      </c>
      <c r="AQ1" s="3" t="s">
        <v>42</v>
      </c>
      <c r="AR1" s="1" t="s">
        <v>43</v>
      </c>
      <c r="AS1" s="1" t="s">
        <v>44</v>
      </c>
      <c r="AT1" s="1" t="s">
        <v>45</v>
      </c>
      <c r="AU1" s="7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2" t="s">
        <v>52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4" t="s">
        <v>61</v>
      </c>
      <c r="BL1" s="14" t="s">
        <v>62</v>
      </c>
      <c r="BM1" s="1" t="s">
        <v>63</v>
      </c>
      <c r="BN1" s="1" t="s">
        <v>64</v>
      </c>
      <c r="BO1" s="1" t="s">
        <v>65</v>
      </c>
      <c r="BP1" s="14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4" t="s">
        <v>73</v>
      </c>
      <c r="BX1" s="1" t="s">
        <v>74</v>
      </c>
      <c r="BY1" s="14" t="s">
        <v>75</v>
      </c>
      <c r="BZ1" s="14" t="s">
        <v>76</v>
      </c>
      <c r="CA1" s="1" t="s">
        <v>77</v>
      </c>
      <c r="CB1" s="1" t="s">
        <v>78</v>
      </c>
      <c r="CC1" s="1" t="s">
        <v>79</v>
      </c>
      <c r="CD1" s="15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2" t="s">
        <v>91</v>
      </c>
      <c r="CP1" s="12" t="s">
        <v>92</v>
      </c>
      <c r="CQ1" s="1" t="s">
        <v>93</v>
      </c>
      <c r="CR1" s="12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6" t="s">
        <v>100</v>
      </c>
      <c r="CY1" s="2" t="s">
        <v>101</v>
      </c>
      <c r="CZ1" s="17" t="s">
        <v>102</v>
      </c>
      <c r="DA1" s="11" t="s">
        <v>103</v>
      </c>
      <c r="DB1" s="1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2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126</v>
      </c>
      <c r="EA1" s="1" t="s">
        <v>128</v>
      </c>
      <c r="EB1" s="1" t="s">
        <v>126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2" t="s">
        <v>136</v>
      </c>
      <c r="EK1" s="2" t="s">
        <v>137</v>
      </c>
      <c r="EL1" s="9" t="s">
        <v>138</v>
      </c>
      <c r="EM1" s="12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2" t="s">
        <v>144</v>
      </c>
      <c r="ES1" s="1" t="s">
        <v>145</v>
      </c>
      <c r="ET1" s="1" t="s">
        <v>146</v>
      </c>
      <c r="EU1" s="1" t="s">
        <v>147</v>
      </c>
      <c r="EV1" s="12" t="s">
        <v>148</v>
      </c>
      <c r="EW1" s="12" t="s">
        <v>149</v>
      </c>
      <c r="EX1" s="12" t="s">
        <v>150</v>
      </c>
      <c r="EY1" s="12" t="s">
        <v>151</v>
      </c>
      <c r="EZ1" s="12" t="s">
        <v>152</v>
      </c>
      <c r="FA1" s="12" t="s">
        <v>153</v>
      </c>
      <c r="FB1" s="2" t="s">
        <v>154</v>
      </c>
      <c r="FC1" s="9" t="s">
        <v>155</v>
      </c>
      <c r="FD1" s="12" t="s">
        <v>156</v>
      </c>
      <c r="FE1" s="1" t="s">
        <v>157</v>
      </c>
      <c r="FF1" s="1" t="s">
        <v>158</v>
      </c>
      <c r="FG1" s="1" t="s">
        <v>159</v>
      </c>
      <c r="FH1" s="18" t="s">
        <v>160</v>
      </c>
      <c r="FI1" s="1" t="s">
        <v>161</v>
      </c>
      <c r="FJ1" s="1" t="s">
        <v>162</v>
      </c>
      <c r="FK1" s="7" t="s">
        <v>163</v>
      </c>
      <c r="FL1" s="7" t="s">
        <v>164</v>
      </c>
      <c r="FM1" s="1" t="s">
        <v>165</v>
      </c>
      <c r="FN1" s="7" t="s">
        <v>166</v>
      </c>
      <c r="FO1" s="9" t="s">
        <v>167</v>
      </c>
      <c r="FP1" s="1" t="s">
        <v>168</v>
      </c>
      <c r="FQ1" s="12" t="s">
        <v>169</v>
      </c>
      <c r="FR1" s="12" t="s">
        <v>170</v>
      </c>
      <c r="FS1" s="12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9" t="s">
        <v>187</v>
      </c>
      <c r="GJ1" s="20" t="s">
        <v>188</v>
      </c>
      <c r="GK1" s="20" t="s">
        <v>189</v>
      </c>
      <c r="GL1" s="20" t="s">
        <v>190</v>
      </c>
      <c r="GM1" s="20" t="s">
        <v>191</v>
      </c>
      <c r="GN1" s="20" t="s">
        <v>192</v>
      </c>
      <c r="GO1" s="20" t="s">
        <v>193</v>
      </c>
      <c r="GP1" s="20" t="s">
        <v>194</v>
      </c>
      <c r="GQ1" s="20" t="s">
        <v>195</v>
      </c>
      <c r="GR1" s="20" t="s">
        <v>196</v>
      </c>
      <c r="GS1" s="20" t="s">
        <v>197</v>
      </c>
      <c r="GT1" s="21" t="s">
        <v>198</v>
      </c>
      <c r="GU1" s="20" t="s">
        <v>199</v>
      </c>
      <c r="GV1" s="20" t="s">
        <v>200</v>
      </c>
      <c r="GW1" s="20" t="s">
        <v>201</v>
      </c>
      <c r="GX1" s="20" t="s">
        <v>202</v>
      </c>
      <c r="GY1" s="19" t="s">
        <v>203</v>
      </c>
      <c r="GZ1" s="20" t="s">
        <v>204</v>
      </c>
      <c r="HA1" s="20" t="s">
        <v>189</v>
      </c>
      <c r="HB1" s="20" t="s">
        <v>205</v>
      </c>
      <c r="HC1" s="20" t="s">
        <v>206</v>
      </c>
      <c r="HD1" s="20" t="s">
        <v>207</v>
      </c>
      <c r="HE1" s="20" t="s">
        <v>208</v>
      </c>
      <c r="HF1" s="20" t="s">
        <v>209</v>
      </c>
      <c r="HG1" s="20" t="s">
        <v>210</v>
      </c>
      <c r="HH1" s="20" t="s">
        <v>211</v>
      </c>
      <c r="HI1" s="20" t="s">
        <v>197</v>
      </c>
      <c r="HJ1" s="21" t="s">
        <v>212</v>
      </c>
      <c r="HK1" s="20" t="s">
        <v>213</v>
      </c>
      <c r="HL1" s="20" t="s">
        <v>214</v>
      </c>
      <c r="HM1" s="20" t="s">
        <v>215</v>
      </c>
      <c r="HN1" s="20" t="s">
        <v>216</v>
      </c>
      <c r="HO1" s="20" t="s">
        <v>217</v>
      </c>
      <c r="HP1" s="20" t="s">
        <v>218</v>
      </c>
      <c r="HQ1" s="20" t="s">
        <v>219</v>
      </c>
      <c r="HR1" s="20" t="s">
        <v>220</v>
      </c>
      <c r="HS1" s="20" t="s">
        <v>221</v>
      </c>
      <c r="HT1" s="1" t="s">
        <v>222</v>
      </c>
      <c r="HU1" s="1" t="s">
        <v>223</v>
      </c>
      <c r="HV1" s="1" t="s">
        <v>52</v>
      </c>
      <c r="HW1" s="1" t="s">
        <v>223</v>
      </c>
      <c r="HX1" s="1" t="s">
        <v>52</v>
      </c>
      <c r="HY1" s="1" t="s">
        <v>223</v>
      </c>
      <c r="HZ1" s="1" t="s">
        <v>52</v>
      </c>
      <c r="IA1" s="1" t="s">
        <v>223</v>
      </c>
      <c r="IB1" s="1" t="s">
        <v>52</v>
      </c>
      <c r="IC1" s="1" t="s">
        <v>223</v>
      </c>
      <c r="ID1" s="1" t="s">
        <v>52</v>
      </c>
      <c r="IE1" s="1" t="s">
        <v>223</v>
      </c>
      <c r="IF1" s="1" t="s">
        <v>52</v>
      </c>
    </row>
    <row r="2" spans="1:240" s="32" customFormat="1" x14ac:dyDescent="0.25">
      <c r="A2" s="22" t="s">
        <v>224</v>
      </c>
      <c r="B2" s="22" t="s">
        <v>237</v>
      </c>
      <c r="C2" s="22">
        <v>9101608</v>
      </c>
      <c r="D2" s="23">
        <v>18089</v>
      </c>
      <c r="E2" s="23">
        <v>44741</v>
      </c>
      <c r="F2" s="23">
        <v>44757</v>
      </c>
      <c r="G2" s="23">
        <v>44742</v>
      </c>
      <c r="H2" s="24">
        <v>0</v>
      </c>
      <c r="I2" s="25">
        <v>0</v>
      </c>
      <c r="J2" s="25">
        <v>0</v>
      </c>
      <c r="K2" s="25">
        <v>0</v>
      </c>
      <c r="L2" s="25">
        <v>0</v>
      </c>
      <c r="M2" s="25">
        <v>0</v>
      </c>
      <c r="N2" s="25">
        <v>1</v>
      </c>
      <c r="O2" s="25" t="s">
        <v>238</v>
      </c>
      <c r="P2" s="22">
        <v>1</v>
      </c>
      <c r="Q2" s="26">
        <v>0</v>
      </c>
      <c r="R2" s="27">
        <v>1</v>
      </c>
      <c r="S2" s="27">
        <v>1</v>
      </c>
      <c r="T2" s="28">
        <v>1</v>
      </c>
      <c r="U2" s="22">
        <v>0</v>
      </c>
      <c r="V2" s="29">
        <f>(G2-D2)/365</f>
        <v>73.021917808219172</v>
      </c>
      <c r="W2" s="22">
        <f>F2-E2</f>
        <v>16</v>
      </c>
      <c r="X2" s="30">
        <v>1</v>
      </c>
      <c r="Y2" s="22">
        <v>75</v>
      </c>
      <c r="Z2" s="31">
        <v>1.66</v>
      </c>
      <c r="AA2" s="29">
        <f>Y2/(Z2*Z2)</f>
        <v>27.217302946726669</v>
      </c>
      <c r="AB2" s="22">
        <v>3</v>
      </c>
      <c r="AC2" s="22" t="s">
        <v>239</v>
      </c>
      <c r="AD2" s="22">
        <v>0</v>
      </c>
      <c r="AE2" s="22">
        <v>1</v>
      </c>
      <c r="AF2" s="22" t="s">
        <v>240</v>
      </c>
      <c r="AG2" s="22">
        <v>0</v>
      </c>
      <c r="AH2" s="22">
        <v>1</v>
      </c>
      <c r="AI2" s="32">
        <v>0</v>
      </c>
      <c r="AJ2" s="32" t="s">
        <v>241</v>
      </c>
      <c r="AK2" s="22">
        <v>0</v>
      </c>
      <c r="AL2" s="33">
        <v>0.39513888888888887</v>
      </c>
      <c r="AM2" s="33">
        <v>0.55486111111111114</v>
      </c>
      <c r="AN2" s="33">
        <f>AM2-AL2</f>
        <v>0.15972222222222227</v>
      </c>
      <c r="AO2" s="22">
        <f>AN2*1440</f>
        <v>230.00000000000006</v>
      </c>
      <c r="AP2" s="22">
        <v>0</v>
      </c>
      <c r="AQ2" s="24">
        <v>0</v>
      </c>
      <c r="AR2" s="22" t="s">
        <v>225</v>
      </c>
      <c r="AS2" s="22" t="s">
        <v>225</v>
      </c>
      <c r="AT2" s="22" t="s">
        <v>242</v>
      </c>
      <c r="AU2" s="28" t="s">
        <v>225</v>
      </c>
      <c r="AV2" s="22">
        <v>1</v>
      </c>
      <c r="AW2" s="22">
        <v>0</v>
      </c>
      <c r="AX2" s="22">
        <v>1</v>
      </c>
      <c r="AY2" s="22">
        <v>0</v>
      </c>
      <c r="AZ2" s="22" t="s">
        <v>225</v>
      </c>
      <c r="BA2" s="23" t="s">
        <v>225</v>
      </c>
      <c r="BB2" s="22" t="s">
        <v>225</v>
      </c>
      <c r="BC2" s="22">
        <v>0</v>
      </c>
      <c r="BD2" s="22" t="s">
        <v>225</v>
      </c>
      <c r="BE2" s="23" t="s">
        <v>225</v>
      </c>
      <c r="BF2" s="22" t="s">
        <v>225</v>
      </c>
      <c r="BG2" s="22">
        <v>1</v>
      </c>
      <c r="BH2" s="22" t="s">
        <v>226</v>
      </c>
      <c r="BI2" s="22" t="s">
        <v>243</v>
      </c>
      <c r="BJ2" s="22" t="s">
        <v>244</v>
      </c>
      <c r="BK2" s="22">
        <v>1</v>
      </c>
      <c r="BL2" s="22">
        <v>1.1000000000000001</v>
      </c>
      <c r="BM2" s="22" t="s">
        <v>245</v>
      </c>
      <c r="BN2" s="22">
        <v>0</v>
      </c>
      <c r="BO2" s="22">
        <v>0</v>
      </c>
      <c r="BP2" s="22" t="s">
        <v>225</v>
      </c>
      <c r="BQ2" s="22">
        <v>0</v>
      </c>
      <c r="BR2" s="22" t="s">
        <v>246</v>
      </c>
      <c r="BS2" s="22" t="s">
        <v>225</v>
      </c>
      <c r="BT2" s="22" t="s">
        <v>225</v>
      </c>
      <c r="BU2" s="22" t="s">
        <v>225</v>
      </c>
      <c r="BV2" s="22" t="s">
        <v>225</v>
      </c>
      <c r="BW2" s="22">
        <v>0</v>
      </c>
      <c r="BX2" s="22" t="s">
        <v>225</v>
      </c>
      <c r="BY2" s="22" t="s">
        <v>225</v>
      </c>
      <c r="BZ2" s="22" t="s">
        <v>225</v>
      </c>
      <c r="CA2" s="22">
        <v>0</v>
      </c>
      <c r="CB2" s="22">
        <v>0</v>
      </c>
      <c r="CC2" s="22">
        <v>14</v>
      </c>
      <c r="CD2" s="34">
        <f>CB2/CC2</f>
        <v>0</v>
      </c>
      <c r="CE2" s="22">
        <v>1</v>
      </c>
      <c r="CF2" s="22">
        <v>1</v>
      </c>
      <c r="CG2" s="22" t="s">
        <v>247</v>
      </c>
      <c r="CH2" s="22">
        <v>1</v>
      </c>
      <c r="CI2" s="22" t="s">
        <v>248</v>
      </c>
      <c r="CJ2" s="22">
        <v>4</v>
      </c>
      <c r="CK2" s="22">
        <v>11.1</v>
      </c>
      <c r="CL2" s="22" t="s">
        <v>249</v>
      </c>
      <c r="CM2" s="22"/>
      <c r="CN2" s="22" t="s">
        <v>225</v>
      </c>
      <c r="CO2" s="32" t="s">
        <v>225</v>
      </c>
      <c r="CP2" s="32" t="s">
        <v>225</v>
      </c>
      <c r="CQ2" s="22">
        <v>10.3</v>
      </c>
      <c r="CR2" s="32">
        <v>0</v>
      </c>
      <c r="CS2" s="22">
        <v>0</v>
      </c>
      <c r="CT2" s="22">
        <v>0</v>
      </c>
      <c r="CU2" s="22">
        <v>500</v>
      </c>
      <c r="CV2" s="22">
        <v>0</v>
      </c>
      <c r="CW2" s="22">
        <v>0</v>
      </c>
      <c r="CX2" s="35" t="s">
        <v>250</v>
      </c>
      <c r="CY2" s="23">
        <v>44745</v>
      </c>
      <c r="CZ2" s="36" t="s">
        <v>251</v>
      </c>
      <c r="DA2" s="29">
        <f>DB2/60</f>
        <v>1.2116666666666667</v>
      </c>
      <c r="DB2" s="29">
        <v>72.7</v>
      </c>
      <c r="DC2" s="22">
        <f>DD2/60</f>
        <v>1.2849999999999999</v>
      </c>
      <c r="DD2" s="22">
        <v>77.099999999999994</v>
      </c>
      <c r="DE2" s="22">
        <v>0</v>
      </c>
      <c r="DF2" s="22">
        <v>0</v>
      </c>
      <c r="DG2" s="23" t="s">
        <v>225</v>
      </c>
      <c r="DH2" s="22" t="s">
        <v>225</v>
      </c>
      <c r="DI2" s="22" t="s">
        <v>225</v>
      </c>
      <c r="DJ2" s="22" t="s">
        <v>225</v>
      </c>
      <c r="DK2" s="22" t="s">
        <v>225</v>
      </c>
      <c r="DL2" s="22" t="s">
        <v>225</v>
      </c>
      <c r="DM2" s="22">
        <v>0</v>
      </c>
      <c r="DN2" s="22">
        <v>0</v>
      </c>
      <c r="DO2" s="22">
        <v>0</v>
      </c>
      <c r="DP2" s="22">
        <v>0</v>
      </c>
      <c r="DQ2" s="22">
        <v>0</v>
      </c>
      <c r="DR2" s="22">
        <v>0</v>
      </c>
      <c r="DS2" s="22">
        <v>0</v>
      </c>
      <c r="DT2" s="22">
        <v>0</v>
      </c>
      <c r="DU2" s="22" t="s">
        <v>225</v>
      </c>
      <c r="DV2" s="22">
        <v>0</v>
      </c>
      <c r="DW2" s="22">
        <v>0</v>
      </c>
      <c r="DX2" s="22" t="s">
        <v>225</v>
      </c>
      <c r="DY2" s="22">
        <v>0</v>
      </c>
      <c r="DZ2" s="22" t="s">
        <v>225</v>
      </c>
      <c r="EA2" s="22">
        <v>0</v>
      </c>
      <c r="EB2" s="22" t="s">
        <v>225</v>
      </c>
      <c r="EC2" s="22">
        <v>0</v>
      </c>
      <c r="ED2" s="22">
        <v>0</v>
      </c>
      <c r="EE2" s="22">
        <v>0</v>
      </c>
      <c r="EF2" s="22">
        <v>0</v>
      </c>
      <c r="EG2" s="22">
        <v>0</v>
      </c>
      <c r="EH2" s="22">
        <v>0</v>
      </c>
      <c r="EI2" s="22" t="s">
        <v>225</v>
      </c>
      <c r="EJ2" s="23" t="s">
        <v>225</v>
      </c>
      <c r="EK2" s="23" t="s">
        <v>225</v>
      </c>
      <c r="EL2" s="22" t="s">
        <v>225</v>
      </c>
      <c r="EM2" s="32">
        <v>0</v>
      </c>
      <c r="EN2" s="22" t="s">
        <v>225</v>
      </c>
      <c r="EO2" s="22" t="s">
        <v>225</v>
      </c>
      <c r="EP2" s="22" t="s">
        <v>225</v>
      </c>
      <c r="EQ2" s="22" t="s">
        <v>225</v>
      </c>
      <c r="ER2" s="32">
        <v>0</v>
      </c>
      <c r="ES2" s="22" t="s">
        <v>225</v>
      </c>
      <c r="ET2" s="22" t="s">
        <v>225</v>
      </c>
      <c r="EU2" s="22" t="s">
        <v>225</v>
      </c>
      <c r="EV2" s="32">
        <v>0</v>
      </c>
      <c r="EW2" s="32">
        <v>0</v>
      </c>
      <c r="EX2" s="32" t="s">
        <v>225</v>
      </c>
      <c r="EY2" s="32" t="s">
        <v>225</v>
      </c>
      <c r="EZ2" s="32" t="s">
        <v>225</v>
      </c>
      <c r="FA2" s="32" t="s">
        <v>225</v>
      </c>
      <c r="FB2" s="23">
        <v>44743</v>
      </c>
      <c r="FC2" s="22">
        <f>FB2-G2</f>
        <v>1</v>
      </c>
      <c r="FD2" s="32">
        <v>0</v>
      </c>
      <c r="FE2" s="22">
        <v>0</v>
      </c>
      <c r="FF2" s="22">
        <v>3</v>
      </c>
      <c r="FG2" s="22" t="s">
        <v>252</v>
      </c>
      <c r="FH2" s="37">
        <v>45592</v>
      </c>
      <c r="FI2" s="22">
        <v>0</v>
      </c>
      <c r="FJ2" s="22" t="s">
        <v>225</v>
      </c>
      <c r="FK2" s="28" t="s">
        <v>225</v>
      </c>
      <c r="FL2" s="28" t="s">
        <v>225</v>
      </c>
      <c r="FM2" s="22" t="e">
        <f>FL2-G2</f>
        <v>#VALUE!</v>
      </c>
      <c r="FN2" s="28" t="s">
        <v>225</v>
      </c>
      <c r="FO2" s="22">
        <f>FH2-G2</f>
        <v>850</v>
      </c>
      <c r="FP2" s="22">
        <v>1</v>
      </c>
      <c r="FQ2" s="32" t="s">
        <v>253</v>
      </c>
      <c r="FR2" s="38">
        <v>44752</v>
      </c>
      <c r="FS2" s="32">
        <f>FR2-G2</f>
        <v>10</v>
      </c>
      <c r="FT2" s="22">
        <v>0</v>
      </c>
      <c r="FU2" s="22" t="s">
        <v>225</v>
      </c>
      <c r="FV2" s="22" t="s">
        <v>225</v>
      </c>
      <c r="FW2" s="22" t="e">
        <f>FV2-G2</f>
        <v>#VALUE!</v>
      </c>
      <c r="FX2" s="22">
        <v>0</v>
      </c>
      <c r="FY2" s="22" t="s">
        <v>225</v>
      </c>
      <c r="FZ2" s="22" t="s">
        <v>254</v>
      </c>
      <c r="GA2" s="22">
        <v>46</v>
      </c>
      <c r="GB2" s="22"/>
      <c r="GC2" s="22" t="s">
        <v>225</v>
      </c>
      <c r="GD2" s="22">
        <v>1</v>
      </c>
      <c r="GE2" s="22">
        <v>35.9</v>
      </c>
      <c r="GF2" s="22">
        <v>5.7</v>
      </c>
      <c r="GG2" s="22">
        <v>3</v>
      </c>
      <c r="GH2" s="22">
        <v>11.3</v>
      </c>
      <c r="GI2" s="39">
        <v>44693</v>
      </c>
      <c r="GJ2" s="22">
        <v>0</v>
      </c>
      <c r="GK2" s="22">
        <v>0</v>
      </c>
      <c r="GL2" s="22">
        <v>0</v>
      </c>
      <c r="GM2" s="22" t="s">
        <v>225</v>
      </c>
      <c r="GN2" s="40" t="e">
        <f>GM2/(Z2*Z2)</f>
        <v>#VALUE!</v>
      </c>
      <c r="GO2" s="22">
        <v>1.2</v>
      </c>
      <c r="GP2" s="22">
        <v>6.1</v>
      </c>
      <c r="GQ2" s="22">
        <v>235</v>
      </c>
      <c r="GR2" s="22">
        <v>39</v>
      </c>
      <c r="GS2" s="22">
        <v>0</v>
      </c>
      <c r="GT2" s="22">
        <v>0</v>
      </c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 t="s">
        <v>225</v>
      </c>
      <c r="HP2" s="22" t="s">
        <v>225</v>
      </c>
      <c r="HQ2" s="22">
        <v>88</v>
      </c>
      <c r="HR2" s="22" t="s">
        <v>225</v>
      </c>
      <c r="HS2" s="22">
        <v>52</v>
      </c>
      <c r="HT2" s="22" t="s">
        <v>235</v>
      </c>
      <c r="HU2" s="22" t="s">
        <v>225</v>
      </c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</row>
    <row r="3" spans="1:240" s="32" customFormat="1" x14ac:dyDescent="0.25">
      <c r="A3" s="22" t="s">
        <v>224</v>
      </c>
      <c r="B3" s="22" t="s">
        <v>255</v>
      </c>
      <c r="C3" s="22">
        <v>11801</v>
      </c>
      <c r="D3" s="23">
        <v>18450</v>
      </c>
      <c r="E3" s="23">
        <v>44819</v>
      </c>
      <c r="F3" s="23">
        <v>44827</v>
      </c>
      <c r="G3" s="23">
        <v>44820</v>
      </c>
      <c r="H3" s="24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1</v>
      </c>
      <c r="O3" s="25" t="s">
        <v>256</v>
      </c>
      <c r="P3" s="22">
        <v>1</v>
      </c>
      <c r="Q3" s="26">
        <v>1</v>
      </c>
      <c r="R3" s="27">
        <v>0</v>
      </c>
      <c r="S3" s="27">
        <v>0</v>
      </c>
      <c r="T3" s="28">
        <v>1</v>
      </c>
      <c r="U3" s="22" t="s">
        <v>225</v>
      </c>
      <c r="V3" s="29">
        <f>(G3-D3)/365</f>
        <v>72.246575342465746</v>
      </c>
      <c r="W3" s="22">
        <f>F3-E3</f>
        <v>8</v>
      </c>
      <c r="X3" s="30">
        <v>1</v>
      </c>
      <c r="Y3" s="22">
        <v>71</v>
      </c>
      <c r="Z3" s="31">
        <v>1.63</v>
      </c>
      <c r="AA3" s="29">
        <f>Y3/(Z3*Z3)</f>
        <v>26.722872520606725</v>
      </c>
      <c r="AB3" s="22">
        <v>2</v>
      </c>
      <c r="AC3" s="22" t="s">
        <v>257</v>
      </c>
      <c r="AD3" s="22">
        <v>0</v>
      </c>
      <c r="AE3" s="22">
        <v>1</v>
      </c>
      <c r="AF3" s="22" t="s">
        <v>258</v>
      </c>
      <c r="AG3" s="22">
        <v>1</v>
      </c>
      <c r="AH3" s="22">
        <v>0</v>
      </c>
      <c r="AI3" s="32">
        <v>0</v>
      </c>
      <c r="AJ3" s="32" t="s">
        <v>259</v>
      </c>
      <c r="AK3" s="22">
        <v>0</v>
      </c>
      <c r="AL3" s="33">
        <v>0.60277777777777775</v>
      </c>
      <c r="AM3" s="33">
        <v>0.69791666666666663</v>
      </c>
      <c r="AN3" s="33">
        <f>AM3-AL3</f>
        <v>9.5138888888888884E-2</v>
      </c>
      <c r="AO3" s="22">
        <f>AN3*1440</f>
        <v>137</v>
      </c>
      <c r="AP3" s="22">
        <v>0</v>
      </c>
      <c r="AQ3" s="24">
        <v>0</v>
      </c>
      <c r="AR3" s="22" t="s">
        <v>225</v>
      </c>
      <c r="AS3" s="22" t="s">
        <v>225</v>
      </c>
      <c r="AT3" s="22" t="s">
        <v>247</v>
      </c>
      <c r="AU3" s="28" t="s">
        <v>260</v>
      </c>
      <c r="AV3" s="22">
        <v>1</v>
      </c>
      <c r="AW3" s="22">
        <v>0</v>
      </c>
      <c r="AX3" s="22">
        <v>1</v>
      </c>
      <c r="AY3" s="22">
        <v>0</v>
      </c>
      <c r="AZ3" s="22" t="s">
        <v>225</v>
      </c>
      <c r="BA3" s="23" t="s">
        <v>225</v>
      </c>
      <c r="BB3" s="22" t="s">
        <v>225</v>
      </c>
      <c r="BC3" s="22">
        <v>0</v>
      </c>
      <c r="BD3" s="22" t="s">
        <v>225</v>
      </c>
      <c r="BE3" s="23" t="s">
        <v>225</v>
      </c>
      <c r="BF3" s="22" t="s">
        <v>225</v>
      </c>
      <c r="BG3" s="22">
        <v>1</v>
      </c>
      <c r="BH3" s="22" t="s">
        <v>226</v>
      </c>
      <c r="BI3" s="22" t="s">
        <v>261</v>
      </c>
      <c r="BJ3" s="22" t="s">
        <v>262</v>
      </c>
      <c r="BK3" s="22">
        <v>1</v>
      </c>
      <c r="BL3" s="22">
        <v>5</v>
      </c>
      <c r="BM3" s="22">
        <v>4</v>
      </c>
      <c r="BN3" s="22">
        <v>2</v>
      </c>
      <c r="BO3" s="22">
        <v>0</v>
      </c>
      <c r="BP3" s="22" t="s">
        <v>225</v>
      </c>
      <c r="BQ3" s="22" t="s">
        <v>231</v>
      </c>
      <c r="BR3" s="22">
        <v>3</v>
      </c>
      <c r="BS3" s="22" t="s">
        <v>232</v>
      </c>
      <c r="BT3" s="22" t="s">
        <v>225</v>
      </c>
      <c r="BU3" s="22" t="s">
        <v>225</v>
      </c>
      <c r="BV3" s="22" t="s">
        <v>225</v>
      </c>
      <c r="BW3" s="22">
        <v>0</v>
      </c>
      <c r="BX3" s="22" t="s">
        <v>225</v>
      </c>
      <c r="BY3" s="22" t="s">
        <v>225</v>
      </c>
      <c r="BZ3" s="22" t="s">
        <v>225</v>
      </c>
      <c r="CA3" s="22">
        <v>1</v>
      </c>
      <c r="CB3" s="22">
        <v>4</v>
      </c>
      <c r="CC3" s="22">
        <v>7</v>
      </c>
      <c r="CD3" s="34">
        <f>CB3/CC3</f>
        <v>0.5714285714285714</v>
      </c>
      <c r="CE3" s="22">
        <v>1</v>
      </c>
      <c r="CF3" s="22">
        <v>1</v>
      </c>
      <c r="CG3" s="22" t="s">
        <v>263</v>
      </c>
      <c r="CH3" s="22">
        <v>1</v>
      </c>
      <c r="CI3" s="22" t="s">
        <v>264</v>
      </c>
      <c r="CJ3" s="22">
        <v>5</v>
      </c>
      <c r="CK3" s="22">
        <v>10.199999999999999</v>
      </c>
      <c r="CL3" s="22" t="s">
        <v>265</v>
      </c>
      <c r="CM3" s="22" t="s">
        <v>266</v>
      </c>
      <c r="CN3" s="22" t="s">
        <v>225</v>
      </c>
      <c r="CO3" s="32" t="s">
        <v>225</v>
      </c>
      <c r="CP3" s="32" t="s">
        <v>225</v>
      </c>
      <c r="CQ3" s="22">
        <v>11.3</v>
      </c>
      <c r="CR3" s="32">
        <v>0</v>
      </c>
      <c r="CS3" s="22">
        <v>0</v>
      </c>
      <c r="CT3" s="22">
        <v>0</v>
      </c>
      <c r="CU3" s="22">
        <v>500</v>
      </c>
      <c r="CV3" s="22">
        <v>0</v>
      </c>
      <c r="CW3" s="22">
        <v>0</v>
      </c>
      <c r="CX3" s="35" t="s">
        <v>228</v>
      </c>
      <c r="CY3" s="23">
        <v>44823</v>
      </c>
      <c r="CZ3" s="36" t="s">
        <v>267</v>
      </c>
      <c r="DA3" s="29">
        <f>DB3/60</f>
        <v>3.15</v>
      </c>
      <c r="DB3" s="29">
        <v>189</v>
      </c>
      <c r="DC3" s="22">
        <f>DD3/60</f>
        <v>0.83833333333333326</v>
      </c>
      <c r="DD3" s="22">
        <v>50.3</v>
      </c>
      <c r="DE3" s="22">
        <v>1</v>
      </c>
      <c r="DF3" s="22">
        <v>1</v>
      </c>
      <c r="DG3" s="23">
        <v>44825</v>
      </c>
      <c r="DH3" s="22">
        <v>80</v>
      </c>
      <c r="DI3" s="22">
        <f>DJ3/60</f>
        <v>0.36833333333333335</v>
      </c>
      <c r="DJ3" s="22">
        <v>22.1</v>
      </c>
      <c r="DK3" s="22">
        <f>DL3/60</f>
        <v>0.32500000000000001</v>
      </c>
      <c r="DL3" s="22">
        <v>19.5</v>
      </c>
      <c r="DM3" s="22">
        <v>0</v>
      </c>
      <c r="DN3" s="22">
        <v>1</v>
      </c>
      <c r="DO3" s="22">
        <v>1</v>
      </c>
      <c r="DP3" s="22">
        <v>1</v>
      </c>
      <c r="DQ3" s="22">
        <v>0</v>
      </c>
      <c r="DR3" s="22">
        <v>1</v>
      </c>
      <c r="DS3" s="22">
        <v>0</v>
      </c>
      <c r="DT3" s="22">
        <v>1</v>
      </c>
      <c r="DU3" s="22" t="s">
        <v>268</v>
      </c>
      <c r="DV3" s="22">
        <v>0</v>
      </c>
      <c r="DW3" s="22">
        <v>1</v>
      </c>
      <c r="DX3" s="22" t="s">
        <v>269</v>
      </c>
      <c r="DY3" s="22">
        <v>0</v>
      </c>
      <c r="DZ3" s="22" t="s">
        <v>225</v>
      </c>
      <c r="EA3" s="22">
        <v>0</v>
      </c>
      <c r="EB3" s="22" t="s">
        <v>225</v>
      </c>
      <c r="EC3" s="22">
        <v>0</v>
      </c>
      <c r="ED3" s="22">
        <v>0</v>
      </c>
      <c r="EE3" s="22">
        <v>0</v>
      </c>
      <c r="EF3" s="22">
        <v>0</v>
      </c>
      <c r="EG3" s="22">
        <v>0</v>
      </c>
      <c r="EH3" s="22">
        <v>0</v>
      </c>
      <c r="EI3" s="22" t="s">
        <v>236</v>
      </c>
      <c r="EJ3" s="23">
        <v>44823</v>
      </c>
      <c r="EK3" s="23"/>
      <c r="EL3" s="22">
        <f>EJ3-G3</f>
        <v>3</v>
      </c>
      <c r="EM3" s="32">
        <v>0</v>
      </c>
      <c r="EN3" s="22" t="s">
        <v>225</v>
      </c>
      <c r="EO3" s="22" t="s">
        <v>225</v>
      </c>
      <c r="EP3" s="22" t="s">
        <v>225</v>
      </c>
      <c r="EQ3" s="22" t="s">
        <v>225</v>
      </c>
      <c r="ER3" s="32">
        <v>0</v>
      </c>
      <c r="ES3" s="22" t="s">
        <v>225</v>
      </c>
      <c r="ET3" s="22" t="s">
        <v>225</v>
      </c>
      <c r="EU3" s="22" t="s">
        <v>225</v>
      </c>
      <c r="EV3" s="32">
        <v>0</v>
      </c>
      <c r="EW3" s="32">
        <v>0</v>
      </c>
      <c r="EX3" s="32" t="s">
        <v>225</v>
      </c>
      <c r="EY3" s="32" t="s">
        <v>225</v>
      </c>
      <c r="EZ3" s="32" t="s">
        <v>225</v>
      </c>
      <c r="FA3" s="32" t="s">
        <v>225</v>
      </c>
      <c r="FB3" s="23">
        <v>44821</v>
      </c>
      <c r="FC3" s="22">
        <f>FB3-G3</f>
        <v>1</v>
      </c>
      <c r="FD3" s="32">
        <v>0</v>
      </c>
      <c r="FE3" s="22">
        <v>0</v>
      </c>
      <c r="FF3" s="22">
        <v>1</v>
      </c>
      <c r="FG3" s="22" t="s">
        <v>270</v>
      </c>
      <c r="FH3" s="37">
        <v>45541</v>
      </c>
      <c r="FI3" s="22">
        <v>0</v>
      </c>
      <c r="FJ3" s="22" t="s">
        <v>225</v>
      </c>
      <c r="FK3" s="28" t="s">
        <v>225</v>
      </c>
      <c r="FL3" s="28" t="s">
        <v>225</v>
      </c>
      <c r="FM3" s="22" t="e">
        <f>FL3-G3</f>
        <v>#VALUE!</v>
      </c>
      <c r="FN3" s="28" t="s">
        <v>225</v>
      </c>
      <c r="FO3" s="22">
        <f>FH3-G3</f>
        <v>721</v>
      </c>
      <c r="FP3" s="22">
        <v>1</v>
      </c>
      <c r="FQ3" s="32" t="s">
        <v>225</v>
      </c>
      <c r="FR3" s="38">
        <v>44826</v>
      </c>
      <c r="FS3" s="32">
        <f>FR3-G3</f>
        <v>6</v>
      </c>
      <c r="FT3" s="22">
        <v>1</v>
      </c>
      <c r="FU3" s="22" t="s">
        <v>271</v>
      </c>
      <c r="FV3" s="39">
        <v>44860</v>
      </c>
      <c r="FW3" s="22">
        <f>FV3-G3</f>
        <v>40</v>
      </c>
      <c r="FX3" s="22">
        <v>0</v>
      </c>
      <c r="FY3" s="22" t="s">
        <v>225</v>
      </c>
      <c r="FZ3" s="22" t="s">
        <v>272</v>
      </c>
      <c r="GA3" s="22">
        <v>39</v>
      </c>
      <c r="GB3" s="22">
        <v>30</v>
      </c>
      <c r="GC3" s="22">
        <f>(1-(GB3/GA3))*100</f>
        <v>23.076923076923073</v>
      </c>
      <c r="GD3" s="22" t="s">
        <v>225</v>
      </c>
      <c r="GE3" s="22">
        <v>40</v>
      </c>
      <c r="GF3" s="22" t="s">
        <v>225</v>
      </c>
      <c r="GG3" s="22">
        <v>1.5</v>
      </c>
      <c r="GH3" s="22">
        <v>10.6</v>
      </c>
      <c r="GI3" s="39">
        <v>44862</v>
      </c>
      <c r="GJ3" s="22">
        <v>0</v>
      </c>
      <c r="GK3" s="22">
        <v>0</v>
      </c>
      <c r="GL3" s="22">
        <v>0</v>
      </c>
      <c r="GM3" s="22" t="s">
        <v>225</v>
      </c>
      <c r="GN3" s="40" t="e">
        <f>GM3/(Z3*Z3)</f>
        <v>#VALUE!</v>
      </c>
      <c r="GO3" s="22">
        <v>1.1499999999999999</v>
      </c>
      <c r="GP3" s="22">
        <v>5.9</v>
      </c>
      <c r="GQ3" s="22">
        <v>78</v>
      </c>
      <c r="GR3" s="22">
        <v>49</v>
      </c>
      <c r="GS3" s="22">
        <v>0</v>
      </c>
      <c r="GT3" s="22">
        <v>1</v>
      </c>
      <c r="GU3" s="22">
        <v>30</v>
      </c>
      <c r="GV3" s="22">
        <v>2.6</v>
      </c>
      <c r="GW3" s="22">
        <v>14.2</v>
      </c>
      <c r="GX3" s="22" t="s">
        <v>225</v>
      </c>
      <c r="GY3" s="39">
        <v>45037</v>
      </c>
      <c r="GZ3" s="22">
        <v>0</v>
      </c>
      <c r="HA3" s="22">
        <v>0</v>
      </c>
      <c r="HB3" s="22">
        <v>0</v>
      </c>
      <c r="HC3" s="22"/>
      <c r="HD3" s="22"/>
      <c r="HE3" s="22">
        <v>1.1100000000000001</v>
      </c>
      <c r="HF3" s="22">
        <v>5.8</v>
      </c>
      <c r="HG3" s="22">
        <v>142</v>
      </c>
      <c r="HH3" s="22">
        <v>47</v>
      </c>
      <c r="HI3" s="22">
        <v>0</v>
      </c>
      <c r="HJ3" s="22">
        <v>0</v>
      </c>
      <c r="HK3" s="22">
        <v>32</v>
      </c>
      <c r="HL3" s="22">
        <v>2.2999999999999998</v>
      </c>
      <c r="HM3" s="22">
        <v>12.9</v>
      </c>
      <c r="HN3" s="22">
        <v>0</v>
      </c>
      <c r="HO3" s="22" t="s">
        <v>225</v>
      </c>
      <c r="HP3" s="22" t="s">
        <v>225</v>
      </c>
      <c r="HQ3" s="22" t="s">
        <v>225</v>
      </c>
      <c r="HR3" s="22" t="s">
        <v>225</v>
      </c>
      <c r="HS3" s="22">
        <v>97.9</v>
      </c>
      <c r="HT3" s="22" t="s">
        <v>235</v>
      </c>
      <c r="HU3" s="22" t="s">
        <v>235</v>
      </c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</row>
    <row r="4" spans="1:240" s="32" customFormat="1" x14ac:dyDescent="0.25">
      <c r="A4" s="22" t="s">
        <v>224</v>
      </c>
      <c r="B4" s="22" t="s">
        <v>275</v>
      </c>
      <c r="C4" s="22">
        <v>329764</v>
      </c>
      <c r="D4" s="23">
        <v>16324</v>
      </c>
      <c r="E4" s="23">
        <v>44879</v>
      </c>
      <c r="F4" s="23">
        <v>44901</v>
      </c>
      <c r="G4" s="23">
        <v>44880</v>
      </c>
      <c r="H4" s="24">
        <v>1</v>
      </c>
      <c r="I4" s="25">
        <v>0</v>
      </c>
      <c r="J4" s="25">
        <v>1</v>
      </c>
      <c r="K4" s="25">
        <v>0</v>
      </c>
      <c r="L4" s="25">
        <v>1</v>
      </c>
      <c r="M4" s="25">
        <v>1</v>
      </c>
      <c r="N4" s="25">
        <v>3</v>
      </c>
      <c r="O4" s="25" t="s">
        <v>276</v>
      </c>
      <c r="P4" s="22">
        <v>1</v>
      </c>
      <c r="Q4" s="26">
        <v>1</v>
      </c>
      <c r="R4" s="27">
        <v>1</v>
      </c>
      <c r="S4" s="27">
        <v>0</v>
      </c>
      <c r="T4" s="28">
        <v>1</v>
      </c>
      <c r="U4" s="22">
        <v>0</v>
      </c>
      <c r="V4" s="29">
        <f>(G4-D4)/365</f>
        <v>78.235616438356161</v>
      </c>
      <c r="W4" s="22">
        <f>F4-E4</f>
        <v>22</v>
      </c>
      <c r="X4" s="30">
        <v>1</v>
      </c>
      <c r="Y4" s="22">
        <v>60</v>
      </c>
      <c r="Z4" s="31">
        <v>1.62</v>
      </c>
      <c r="AA4" s="29">
        <f>Y4/(Z4*Z4)</f>
        <v>22.862368541380881</v>
      </c>
      <c r="AB4" s="22">
        <v>2</v>
      </c>
      <c r="AC4" s="22" t="s">
        <v>277</v>
      </c>
      <c r="AD4" s="22">
        <v>1</v>
      </c>
      <c r="AE4" s="22">
        <v>0</v>
      </c>
      <c r="AF4" s="22" t="s">
        <v>274</v>
      </c>
      <c r="AG4" s="22">
        <v>0</v>
      </c>
      <c r="AH4" s="22">
        <v>0</v>
      </c>
      <c r="AI4" s="32">
        <v>0</v>
      </c>
      <c r="AJ4" s="32">
        <v>0</v>
      </c>
      <c r="AK4" s="22">
        <v>0</v>
      </c>
      <c r="AL4" s="33">
        <v>0.53541666666666665</v>
      </c>
      <c r="AM4" s="33">
        <v>0.63263888888888886</v>
      </c>
      <c r="AN4" s="33">
        <f>AM4-AL4</f>
        <v>9.722222222222221E-2</v>
      </c>
      <c r="AO4" s="22">
        <f>AN4*1440</f>
        <v>139.99999999999997</v>
      </c>
      <c r="AP4" s="22">
        <v>0</v>
      </c>
      <c r="AQ4" s="24">
        <v>0</v>
      </c>
      <c r="AR4" s="22" t="s">
        <v>225</v>
      </c>
      <c r="AS4" s="22" t="s">
        <v>225</v>
      </c>
      <c r="AT4" s="22" t="s">
        <v>227</v>
      </c>
      <c r="AU4" s="28" t="s">
        <v>225</v>
      </c>
      <c r="AV4" s="22">
        <v>1</v>
      </c>
      <c r="AW4" s="22">
        <v>0</v>
      </c>
      <c r="AX4" s="22">
        <v>0</v>
      </c>
      <c r="AY4" s="22">
        <v>0</v>
      </c>
      <c r="AZ4" s="22" t="s">
        <v>225</v>
      </c>
      <c r="BA4" s="23" t="s">
        <v>225</v>
      </c>
      <c r="BB4" s="22" t="s">
        <v>225</v>
      </c>
      <c r="BC4" s="22">
        <v>0</v>
      </c>
      <c r="BD4" s="22" t="s">
        <v>225</v>
      </c>
      <c r="BE4" s="23" t="s">
        <v>225</v>
      </c>
      <c r="BF4" s="22" t="s">
        <v>225</v>
      </c>
      <c r="BG4" s="22">
        <v>1</v>
      </c>
      <c r="BH4" s="22" t="s">
        <v>226</v>
      </c>
      <c r="BI4" s="22" t="s">
        <v>278</v>
      </c>
      <c r="BJ4" s="22" t="s">
        <v>279</v>
      </c>
      <c r="BK4" s="22">
        <v>0</v>
      </c>
      <c r="BL4" s="22">
        <v>10</v>
      </c>
      <c r="BM4" s="22" t="s">
        <v>280</v>
      </c>
      <c r="BN4" s="22">
        <v>0</v>
      </c>
      <c r="BO4" s="22">
        <v>0</v>
      </c>
      <c r="BP4" s="22" t="s">
        <v>225</v>
      </c>
      <c r="BQ4" s="22">
        <v>0</v>
      </c>
      <c r="BR4" s="22">
        <v>0</v>
      </c>
      <c r="BS4" s="22" t="s">
        <v>225</v>
      </c>
      <c r="BT4" s="22" t="s">
        <v>225</v>
      </c>
      <c r="BU4" s="22" t="s">
        <v>225</v>
      </c>
      <c r="BV4" s="22" t="s">
        <v>225</v>
      </c>
      <c r="BW4" s="22">
        <v>1</v>
      </c>
      <c r="BX4" s="22">
        <v>1</v>
      </c>
      <c r="BY4" s="22">
        <v>1</v>
      </c>
      <c r="BZ4" s="22">
        <v>0</v>
      </c>
      <c r="CA4" s="22">
        <v>0</v>
      </c>
      <c r="CB4" s="22">
        <v>0</v>
      </c>
      <c r="CC4" s="22">
        <v>8</v>
      </c>
      <c r="CD4" s="34">
        <f>CB4/CC4</f>
        <v>0</v>
      </c>
      <c r="CE4" s="22">
        <v>0</v>
      </c>
      <c r="CF4" s="22">
        <v>1</v>
      </c>
      <c r="CG4" s="22" t="s">
        <v>227</v>
      </c>
      <c r="CH4" s="22">
        <v>1</v>
      </c>
      <c r="CI4" s="22" t="s">
        <v>227</v>
      </c>
      <c r="CJ4" s="22">
        <v>6</v>
      </c>
      <c r="CK4" s="22">
        <v>12.9</v>
      </c>
      <c r="CL4" s="22" t="s">
        <v>225</v>
      </c>
      <c r="CM4" s="22" t="s">
        <v>281</v>
      </c>
      <c r="CN4" s="22" t="s">
        <v>225</v>
      </c>
      <c r="CO4" s="32" t="s">
        <v>225</v>
      </c>
      <c r="CP4" s="32" t="s">
        <v>225</v>
      </c>
      <c r="CQ4" s="22">
        <v>11.6</v>
      </c>
      <c r="CR4" s="32">
        <v>0</v>
      </c>
      <c r="CS4" s="22">
        <v>0</v>
      </c>
      <c r="CT4" s="22">
        <v>0</v>
      </c>
      <c r="CU4" s="22">
        <v>50</v>
      </c>
      <c r="CV4" s="22">
        <v>0</v>
      </c>
      <c r="CW4" s="22">
        <v>0</v>
      </c>
      <c r="CX4" s="35" t="s">
        <v>233</v>
      </c>
      <c r="CY4" s="23">
        <v>44883</v>
      </c>
      <c r="CZ4" s="36" t="s">
        <v>282</v>
      </c>
      <c r="DA4" s="29">
        <f>DB4/60</f>
        <v>61.65</v>
      </c>
      <c r="DB4" s="29">
        <v>3699</v>
      </c>
      <c r="DC4" s="22">
        <f>DD4/60</f>
        <v>1.3783333333333334</v>
      </c>
      <c r="DD4" s="22">
        <v>82.7</v>
      </c>
      <c r="DE4" s="22">
        <v>1</v>
      </c>
      <c r="DF4" s="22">
        <v>1</v>
      </c>
      <c r="DG4" s="23">
        <v>44885</v>
      </c>
      <c r="DH4" s="22">
        <v>25</v>
      </c>
      <c r="DI4" s="22">
        <f>DJ4/60</f>
        <v>11.65</v>
      </c>
      <c r="DJ4" s="22">
        <v>699</v>
      </c>
      <c r="DK4" s="22">
        <f>DL4/60</f>
        <v>1.115</v>
      </c>
      <c r="DL4" s="22">
        <v>66.900000000000006</v>
      </c>
      <c r="DM4" s="22">
        <v>1</v>
      </c>
      <c r="DN4" s="22">
        <v>1</v>
      </c>
      <c r="DO4" s="22">
        <v>1</v>
      </c>
      <c r="DP4" s="22">
        <v>2</v>
      </c>
      <c r="DQ4" s="22">
        <v>0</v>
      </c>
      <c r="DR4" s="22">
        <v>1</v>
      </c>
      <c r="DS4" s="22">
        <v>0</v>
      </c>
      <c r="DT4" s="22">
        <v>1</v>
      </c>
      <c r="DU4" s="22" t="s">
        <v>283</v>
      </c>
      <c r="DV4" s="22">
        <v>0</v>
      </c>
      <c r="DW4" s="22">
        <v>0</v>
      </c>
      <c r="DX4" s="22" t="s">
        <v>225</v>
      </c>
      <c r="DY4" s="22">
        <v>0</v>
      </c>
      <c r="DZ4" s="22" t="s">
        <v>225</v>
      </c>
      <c r="EA4" s="22">
        <v>0</v>
      </c>
      <c r="EB4" s="22" t="s">
        <v>225</v>
      </c>
      <c r="EC4" s="22">
        <v>0</v>
      </c>
      <c r="ED4" s="22">
        <v>0</v>
      </c>
      <c r="EE4" s="22">
        <v>1</v>
      </c>
      <c r="EF4" s="22">
        <v>0</v>
      </c>
      <c r="EG4" s="22">
        <v>1</v>
      </c>
      <c r="EH4" s="22">
        <v>0</v>
      </c>
      <c r="EI4" s="22" t="s">
        <v>236</v>
      </c>
      <c r="EJ4" s="23">
        <v>44885</v>
      </c>
      <c r="EK4" s="23" t="s">
        <v>225</v>
      </c>
      <c r="EL4" s="22">
        <f>EJ4-G4</f>
        <v>5</v>
      </c>
      <c r="EM4" s="32">
        <v>0</v>
      </c>
      <c r="EN4" s="22" t="s">
        <v>225</v>
      </c>
      <c r="EO4" s="22" t="s">
        <v>225</v>
      </c>
      <c r="EP4" s="22" t="s">
        <v>225</v>
      </c>
      <c r="EQ4" s="22" t="s">
        <v>225</v>
      </c>
      <c r="ER4" s="32">
        <v>0</v>
      </c>
      <c r="ES4" s="22" t="s">
        <v>225</v>
      </c>
      <c r="ET4" s="22" t="s">
        <v>225</v>
      </c>
      <c r="EU4" s="22" t="s">
        <v>225</v>
      </c>
      <c r="EV4" s="32">
        <v>0</v>
      </c>
      <c r="EW4" s="32">
        <v>0</v>
      </c>
      <c r="EX4" s="32" t="s">
        <v>225</v>
      </c>
      <c r="EY4" s="32" t="s">
        <v>225</v>
      </c>
      <c r="EZ4" s="32" t="s">
        <v>225</v>
      </c>
      <c r="FA4" s="32" t="s">
        <v>225</v>
      </c>
      <c r="FB4" s="23">
        <v>44883</v>
      </c>
      <c r="FC4" s="22">
        <f>FB4-G4</f>
        <v>3</v>
      </c>
      <c r="FD4" s="32">
        <v>1</v>
      </c>
      <c r="FE4" s="22">
        <v>0</v>
      </c>
      <c r="FF4" s="22" t="s">
        <v>225</v>
      </c>
      <c r="FG4" s="22" t="s">
        <v>225</v>
      </c>
      <c r="FH4" s="37">
        <v>45520</v>
      </c>
      <c r="FI4" s="22">
        <v>0</v>
      </c>
      <c r="FJ4" s="22" t="s">
        <v>225</v>
      </c>
      <c r="FK4" s="28" t="s">
        <v>225</v>
      </c>
      <c r="FL4" s="28" t="s">
        <v>225</v>
      </c>
      <c r="FM4" s="22" t="e">
        <f>FL4-G4</f>
        <v>#VALUE!</v>
      </c>
      <c r="FN4" s="28" t="s">
        <v>225</v>
      </c>
      <c r="FO4" s="22">
        <f>FH4-G4</f>
        <v>640</v>
      </c>
      <c r="FP4" s="22">
        <v>1</v>
      </c>
      <c r="FQ4" s="32" t="s">
        <v>234</v>
      </c>
      <c r="FR4" s="38">
        <v>44882</v>
      </c>
      <c r="FS4" s="32">
        <f>FR4-G4</f>
        <v>2</v>
      </c>
      <c r="FT4" s="22">
        <v>1</v>
      </c>
      <c r="FU4" s="22" t="s">
        <v>284</v>
      </c>
      <c r="FV4" s="39">
        <v>44975</v>
      </c>
      <c r="FW4" s="22">
        <f>FV4-G4</f>
        <v>95</v>
      </c>
      <c r="FX4" s="22">
        <v>0</v>
      </c>
      <c r="FY4" s="22">
        <v>730</v>
      </c>
      <c r="FZ4" s="22" t="s">
        <v>285</v>
      </c>
      <c r="GA4" s="22">
        <v>67</v>
      </c>
      <c r="GB4" s="22">
        <v>53.5</v>
      </c>
      <c r="GC4" s="22">
        <f>(1-(GB4/GA4))*100</f>
        <v>20.149253731343286</v>
      </c>
      <c r="GD4" s="22">
        <v>1.2</v>
      </c>
      <c r="GE4" s="22">
        <v>35</v>
      </c>
      <c r="GF4" s="22">
        <v>6.5</v>
      </c>
      <c r="GG4" s="22">
        <v>1.9</v>
      </c>
      <c r="GH4" s="22">
        <v>13.4</v>
      </c>
      <c r="GI4" s="39">
        <v>44932</v>
      </c>
      <c r="GJ4" s="22">
        <v>0</v>
      </c>
      <c r="GK4" s="22">
        <v>0</v>
      </c>
      <c r="GL4" s="22">
        <v>0</v>
      </c>
      <c r="GM4" s="22">
        <v>57</v>
      </c>
      <c r="GN4" s="40">
        <f>GM4/(Z4*Z4)</f>
        <v>21.719250114311837</v>
      </c>
      <c r="GO4" s="22">
        <v>1.1200000000000001</v>
      </c>
      <c r="GP4" s="22">
        <v>6.8</v>
      </c>
      <c r="GQ4" s="22">
        <v>126</v>
      </c>
      <c r="GR4" s="22">
        <v>41.1</v>
      </c>
      <c r="GS4" s="22">
        <v>1</v>
      </c>
      <c r="GT4" s="22">
        <v>0</v>
      </c>
      <c r="GU4" s="22">
        <v>53.5</v>
      </c>
      <c r="GV4" s="22">
        <v>1.6</v>
      </c>
      <c r="GW4" s="22">
        <v>11</v>
      </c>
      <c r="GX4" s="22" t="s">
        <v>225</v>
      </c>
      <c r="GY4" s="39">
        <v>45082</v>
      </c>
      <c r="GZ4" s="22">
        <v>1</v>
      </c>
      <c r="HA4" s="22">
        <v>0</v>
      </c>
      <c r="HB4" s="22"/>
      <c r="HC4" s="22"/>
      <c r="HD4" s="22"/>
      <c r="HE4" s="22">
        <v>1.25</v>
      </c>
      <c r="HF4" s="22">
        <v>7.9</v>
      </c>
      <c r="HG4" s="22"/>
      <c r="HH4" s="22">
        <v>44.4</v>
      </c>
      <c r="HI4" s="22">
        <v>1</v>
      </c>
      <c r="HJ4" s="22">
        <v>49.5</v>
      </c>
      <c r="HK4" s="22"/>
      <c r="HL4" s="22">
        <v>2.4</v>
      </c>
      <c r="HM4" s="22">
        <v>12.1</v>
      </c>
      <c r="HN4" s="22">
        <v>0</v>
      </c>
      <c r="HO4" s="22" t="s">
        <v>225</v>
      </c>
      <c r="HP4" s="22" t="s">
        <v>225</v>
      </c>
      <c r="HQ4" s="22">
        <v>345</v>
      </c>
      <c r="HR4" s="22" t="s">
        <v>225</v>
      </c>
      <c r="HS4" s="22">
        <v>216</v>
      </c>
      <c r="HT4" s="22" t="s">
        <v>235</v>
      </c>
      <c r="HU4" s="22"/>
      <c r="HV4" s="39">
        <v>45511</v>
      </c>
      <c r="HW4" s="22" t="s">
        <v>286</v>
      </c>
      <c r="HX4" s="22"/>
      <c r="HY4" s="22"/>
      <c r="HZ4" s="22"/>
      <c r="IA4" s="22"/>
      <c r="IB4" s="22"/>
      <c r="IC4" s="22"/>
      <c r="ID4" s="22"/>
      <c r="IE4" s="22"/>
      <c r="IF4" s="22"/>
    </row>
    <row r="5" spans="1:240" s="32" customFormat="1" ht="21" customHeight="1" x14ac:dyDescent="0.25">
      <c r="A5" s="22" t="s">
        <v>224</v>
      </c>
      <c r="B5" s="22" t="s">
        <v>288</v>
      </c>
      <c r="C5" s="22">
        <v>1620758</v>
      </c>
      <c r="D5" s="23">
        <v>24198</v>
      </c>
      <c r="E5" s="23">
        <v>45484</v>
      </c>
      <c r="F5" s="23">
        <v>45492</v>
      </c>
      <c r="G5" s="23">
        <v>45484</v>
      </c>
      <c r="H5" s="24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1</v>
      </c>
      <c r="O5" s="25" t="s">
        <v>289</v>
      </c>
      <c r="P5" s="22">
        <v>1</v>
      </c>
      <c r="Q5" s="26">
        <v>1</v>
      </c>
      <c r="R5" s="27">
        <v>0</v>
      </c>
      <c r="S5" s="27">
        <v>0</v>
      </c>
      <c r="T5" s="28">
        <v>1</v>
      </c>
      <c r="U5" s="22">
        <v>0</v>
      </c>
      <c r="V5" s="29">
        <f>(G5-D5)/365</f>
        <v>58.317808219178083</v>
      </c>
      <c r="W5" s="22">
        <f>F5-E5</f>
        <v>8</v>
      </c>
      <c r="X5" s="30">
        <v>0</v>
      </c>
      <c r="Y5" s="22">
        <v>55</v>
      </c>
      <c r="Z5" s="31">
        <v>1.73</v>
      </c>
      <c r="AA5" s="29">
        <f>Y5/(Z5*Z5)</f>
        <v>18.376825152861773</v>
      </c>
      <c r="AB5" s="22">
        <v>3</v>
      </c>
      <c r="AC5" s="22" t="s">
        <v>290</v>
      </c>
      <c r="AD5" s="22">
        <v>0</v>
      </c>
      <c r="AE5" s="22">
        <v>1</v>
      </c>
      <c r="AF5" s="22" t="s">
        <v>291</v>
      </c>
      <c r="AG5" s="22">
        <v>0</v>
      </c>
      <c r="AH5" s="22">
        <v>1</v>
      </c>
      <c r="AI5" s="32">
        <v>0</v>
      </c>
      <c r="AJ5" s="32">
        <v>0</v>
      </c>
      <c r="AK5" s="22">
        <v>0</v>
      </c>
      <c r="AL5" s="33">
        <v>0.60763888888888895</v>
      </c>
      <c r="AM5" s="33">
        <v>0.70416666666666661</v>
      </c>
      <c r="AN5" s="33">
        <f>AM5-AL5</f>
        <v>9.6527777777777657E-2</v>
      </c>
      <c r="AO5" s="22">
        <f>AN5*1440</f>
        <v>138.99999999999983</v>
      </c>
      <c r="AP5" s="22">
        <v>0</v>
      </c>
      <c r="AQ5" s="24">
        <v>0</v>
      </c>
      <c r="AR5" s="22" t="s">
        <v>225</v>
      </c>
      <c r="AS5" s="22" t="s">
        <v>225</v>
      </c>
      <c r="AT5" s="22" t="s">
        <v>292</v>
      </c>
      <c r="AU5" s="28" t="s">
        <v>225</v>
      </c>
      <c r="AV5" s="22">
        <v>1</v>
      </c>
      <c r="AW5" s="22">
        <v>0</v>
      </c>
      <c r="AX5" s="22">
        <v>0</v>
      </c>
      <c r="AY5" s="22">
        <v>0</v>
      </c>
      <c r="AZ5" s="22" t="s">
        <v>225</v>
      </c>
      <c r="BA5" s="23" t="s">
        <v>225</v>
      </c>
      <c r="BB5" s="22" t="s">
        <v>225</v>
      </c>
      <c r="BC5" s="22">
        <v>0</v>
      </c>
      <c r="BD5" s="22" t="s">
        <v>225</v>
      </c>
      <c r="BE5" s="23" t="s">
        <v>225</v>
      </c>
      <c r="BF5" s="22" t="s">
        <v>225</v>
      </c>
      <c r="BG5" s="22">
        <v>1</v>
      </c>
      <c r="BH5" s="22" t="s">
        <v>226</v>
      </c>
      <c r="BI5" s="22" t="s">
        <v>293</v>
      </c>
      <c r="BJ5" s="22" t="s">
        <v>225</v>
      </c>
      <c r="BK5" s="22" t="s">
        <v>225</v>
      </c>
      <c r="BL5" s="22">
        <v>2.5</v>
      </c>
      <c r="BM5" s="22">
        <v>2</v>
      </c>
      <c r="BN5" s="22">
        <v>2</v>
      </c>
      <c r="BO5" s="22">
        <v>0</v>
      </c>
      <c r="BP5" s="22" t="s">
        <v>225</v>
      </c>
      <c r="BQ5" s="22">
        <v>0</v>
      </c>
      <c r="BR5" s="22">
        <v>3</v>
      </c>
      <c r="BS5" s="22" t="s">
        <v>225</v>
      </c>
      <c r="BT5" s="22" t="s">
        <v>225</v>
      </c>
      <c r="BU5" s="22" t="s">
        <v>225</v>
      </c>
      <c r="BV5" s="22" t="s">
        <v>225</v>
      </c>
      <c r="BW5" s="22">
        <v>0</v>
      </c>
      <c r="BX5" s="22" t="s">
        <v>225</v>
      </c>
      <c r="BY5" s="22" t="s">
        <v>225</v>
      </c>
      <c r="BZ5" s="22" t="s">
        <v>225</v>
      </c>
      <c r="CA5" s="22">
        <v>1</v>
      </c>
      <c r="CB5" s="22">
        <v>4</v>
      </c>
      <c r="CC5" s="22">
        <v>11</v>
      </c>
      <c r="CD5" s="34">
        <f>CB5/CC5</f>
        <v>0.36363636363636365</v>
      </c>
      <c r="CE5" s="22">
        <v>1</v>
      </c>
      <c r="CF5" s="22">
        <v>1</v>
      </c>
      <c r="CG5" s="22" t="s">
        <v>263</v>
      </c>
      <c r="CH5" s="22">
        <v>1</v>
      </c>
      <c r="CI5" s="22" t="s">
        <v>263</v>
      </c>
      <c r="CJ5" s="22">
        <v>9</v>
      </c>
      <c r="CK5" s="22">
        <v>13.5</v>
      </c>
      <c r="CL5" s="22" t="s">
        <v>294</v>
      </c>
      <c r="CM5" s="22"/>
      <c r="CN5" s="22" t="s">
        <v>225</v>
      </c>
      <c r="CO5" s="32" t="s">
        <v>225</v>
      </c>
      <c r="CP5" s="32" t="s">
        <v>225</v>
      </c>
      <c r="CQ5" s="22">
        <v>12.3</v>
      </c>
      <c r="CR5" s="32">
        <v>0</v>
      </c>
      <c r="CS5" s="22">
        <v>0</v>
      </c>
      <c r="CT5" s="22">
        <v>0</v>
      </c>
      <c r="CU5" s="22">
        <v>100</v>
      </c>
      <c r="CV5" s="22">
        <v>0</v>
      </c>
      <c r="CW5" s="22">
        <v>0</v>
      </c>
      <c r="CX5" s="35" t="s">
        <v>228</v>
      </c>
      <c r="CY5" s="23">
        <v>45487</v>
      </c>
      <c r="CZ5" s="36" t="s">
        <v>295</v>
      </c>
      <c r="DA5" s="29">
        <f>DB5/60</f>
        <v>6.6166666666666663</v>
      </c>
      <c r="DB5" s="29">
        <v>397</v>
      </c>
      <c r="DC5" s="22">
        <f>DD5/60</f>
        <v>0.8666666666666667</v>
      </c>
      <c r="DD5" s="22">
        <v>52</v>
      </c>
      <c r="DE5" s="22">
        <v>1</v>
      </c>
      <c r="DF5" s="22">
        <v>1</v>
      </c>
      <c r="DG5" s="23">
        <v>45489</v>
      </c>
      <c r="DH5" s="22">
        <v>150</v>
      </c>
      <c r="DI5" s="22">
        <f>DJ5/60</f>
        <v>0.28500000000000003</v>
      </c>
      <c r="DJ5" s="22">
        <v>17.100000000000001</v>
      </c>
      <c r="DK5" s="22">
        <f>DL5/60</f>
        <v>0.6</v>
      </c>
      <c r="DL5" s="22">
        <v>36</v>
      </c>
      <c r="DM5" s="22">
        <v>0</v>
      </c>
      <c r="DN5" s="22">
        <v>0</v>
      </c>
      <c r="DO5" s="22">
        <v>1</v>
      </c>
      <c r="DP5" s="22">
        <v>1</v>
      </c>
      <c r="DQ5" s="22">
        <v>0</v>
      </c>
      <c r="DR5" s="22">
        <v>1</v>
      </c>
      <c r="DS5" s="22">
        <v>0</v>
      </c>
      <c r="DT5" s="22">
        <v>0</v>
      </c>
      <c r="DU5" s="22" t="s">
        <v>225</v>
      </c>
      <c r="DV5" s="22">
        <v>0</v>
      </c>
      <c r="DW5" s="22">
        <v>0</v>
      </c>
      <c r="DX5" s="22" t="s">
        <v>225</v>
      </c>
      <c r="DY5" s="22">
        <v>0</v>
      </c>
      <c r="DZ5" s="22" t="s">
        <v>225</v>
      </c>
      <c r="EA5" s="22">
        <v>0</v>
      </c>
      <c r="EB5" s="22" t="s">
        <v>225</v>
      </c>
      <c r="EC5" s="22">
        <v>0</v>
      </c>
      <c r="ED5" s="22">
        <v>0</v>
      </c>
      <c r="EE5" s="22">
        <v>0</v>
      </c>
      <c r="EF5" s="22">
        <v>0</v>
      </c>
      <c r="EG5" s="22">
        <v>0</v>
      </c>
      <c r="EH5" s="22">
        <v>0</v>
      </c>
      <c r="EI5" s="22" t="s">
        <v>287</v>
      </c>
      <c r="EJ5" s="23">
        <v>45487</v>
      </c>
      <c r="EK5" s="23"/>
      <c r="EL5" s="22">
        <f>EJ5-G5</f>
        <v>3</v>
      </c>
      <c r="EM5" s="32">
        <v>0</v>
      </c>
      <c r="EN5" s="22" t="s">
        <v>225</v>
      </c>
      <c r="EO5" s="22" t="s">
        <v>225</v>
      </c>
      <c r="EP5" s="22" t="s">
        <v>225</v>
      </c>
      <c r="EQ5" s="22" t="s">
        <v>225</v>
      </c>
      <c r="ER5" s="32">
        <v>0</v>
      </c>
      <c r="ES5" s="22" t="s">
        <v>225</v>
      </c>
      <c r="ET5" s="22" t="s">
        <v>225</v>
      </c>
      <c r="EU5" s="22" t="s">
        <v>225</v>
      </c>
      <c r="EV5" s="32">
        <v>0</v>
      </c>
      <c r="EW5" s="32">
        <v>0</v>
      </c>
      <c r="EX5" s="32" t="s">
        <v>225</v>
      </c>
      <c r="EY5" s="32" t="s">
        <v>225</v>
      </c>
      <c r="EZ5" s="32" t="s">
        <v>225</v>
      </c>
      <c r="FA5" s="32" t="s">
        <v>225</v>
      </c>
      <c r="FB5" s="23">
        <v>45485</v>
      </c>
      <c r="FC5" s="22">
        <f>FB5-G5</f>
        <v>1</v>
      </c>
      <c r="FD5" s="32">
        <v>0</v>
      </c>
      <c r="FE5" s="22">
        <v>0</v>
      </c>
      <c r="FF5" s="22">
        <v>1</v>
      </c>
      <c r="FG5" s="22"/>
      <c r="FH5" s="37">
        <v>45527</v>
      </c>
      <c r="FI5" s="22">
        <v>0</v>
      </c>
      <c r="FJ5" s="22" t="s">
        <v>225</v>
      </c>
      <c r="FK5" s="28" t="s">
        <v>225</v>
      </c>
      <c r="FL5" s="28" t="s">
        <v>225</v>
      </c>
      <c r="FM5" s="22" t="s">
        <v>225</v>
      </c>
      <c r="FN5" s="28" t="s">
        <v>225</v>
      </c>
      <c r="FO5" s="22">
        <f>FH5-G5</f>
        <v>43</v>
      </c>
      <c r="FP5" s="22">
        <v>0</v>
      </c>
      <c r="FQ5" s="32" t="s">
        <v>225</v>
      </c>
      <c r="FR5" s="32" t="s">
        <v>225</v>
      </c>
      <c r="FS5" s="32" t="e">
        <f>FR5-G5</f>
        <v>#VALUE!</v>
      </c>
      <c r="FT5" s="22">
        <v>0</v>
      </c>
      <c r="FU5" s="22" t="s">
        <v>225</v>
      </c>
      <c r="FV5" s="22" t="s">
        <v>225</v>
      </c>
      <c r="FW5" s="22" t="s">
        <v>225</v>
      </c>
      <c r="FX5" s="22">
        <v>0</v>
      </c>
      <c r="FY5" s="22"/>
      <c r="FZ5" s="22" t="s">
        <v>296</v>
      </c>
      <c r="GA5" s="22">
        <v>83</v>
      </c>
      <c r="GB5" s="22"/>
      <c r="GC5" s="22">
        <f>(1-(GB5/GA5))*100</f>
        <v>100</v>
      </c>
      <c r="GD5" s="22">
        <v>0.9</v>
      </c>
      <c r="GE5" s="22">
        <v>31</v>
      </c>
      <c r="GF5" s="22">
        <v>5.6</v>
      </c>
      <c r="GG5" s="22">
        <v>4</v>
      </c>
      <c r="GH5" s="22">
        <v>16</v>
      </c>
      <c r="GI5" s="39">
        <v>45518</v>
      </c>
      <c r="GJ5" s="22">
        <v>0</v>
      </c>
      <c r="GK5" s="22">
        <v>0</v>
      </c>
      <c r="GL5" s="22">
        <v>0</v>
      </c>
      <c r="GM5" s="22" t="s">
        <v>225</v>
      </c>
      <c r="GN5" s="22" t="s">
        <v>225</v>
      </c>
      <c r="GO5" s="22">
        <v>0.89</v>
      </c>
      <c r="GP5" s="22">
        <v>5.9</v>
      </c>
      <c r="GQ5" s="22">
        <v>407</v>
      </c>
      <c r="GR5" s="22">
        <v>40.5</v>
      </c>
      <c r="GS5" s="22">
        <v>0</v>
      </c>
      <c r="GT5" s="22">
        <v>0</v>
      </c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>
        <v>14.8</v>
      </c>
      <c r="HP5" s="22" t="s">
        <v>225</v>
      </c>
      <c r="HQ5" s="22">
        <v>127</v>
      </c>
      <c r="HR5" s="22" t="s">
        <v>225</v>
      </c>
      <c r="HS5" s="22">
        <v>86.2</v>
      </c>
      <c r="HT5" s="22" t="s">
        <v>230</v>
      </c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</row>
    <row r="6" spans="1:240" s="32" customFormat="1" x14ac:dyDescent="0.25">
      <c r="A6" s="22" t="s">
        <v>224</v>
      </c>
      <c r="B6" s="22" t="s">
        <v>297</v>
      </c>
      <c r="C6" s="22">
        <v>3729441</v>
      </c>
      <c r="D6" s="23">
        <v>18027</v>
      </c>
      <c r="E6" s="23">
        <v>45558</v>
      </c>
      <c r="F6" s="23">
        <v>45568</v>
      </c>
      <c r="G6" s="23">
        <v>45558</v>
      </c>
      <c r="H6" s="24">
        <v>0</v>
      </c>
      <c r="I6" s="25">
        <v>0</v>
      </c>
      <c r="J6" s="25">
        <v>0</v>
      </c>
      <c r="K6" s="25">
        <v>0</v>
      </c>
      <c r="L6" s="25">
        <v>0</v>
      </c>
      <c r="M6" s="25">
        <v>0</v>
      </c>
      <c r="N6" s="25">
        <v>1</v>
      </c>
      <c r="O6" s="25" t="s">
        <v>298</v>
      </c>
      <c r="P6" s="22">
        <v>1</v>
      </c>
      <c r="Q6" s="26">
        <v>1</v>
      </c>
      <c r="R6" s="27">
        <v>0</v>
      </c>
      <c r="S6" s="27">
        <v>0</v>
      </c>
      <c r="T6" s="28">
        <v>1</v>
      </c>
      <c r="U6" s="22">
        <v>0</v>
      </c>
      <c r="V6" s="29">
        <f>(G6-D6)/365</f>
        <v>75.427397260273978</v>
      </c>
      <c r="W6" s="22">
        <f>F6-E6</f>
        <v>10</v>
      </c>
      <c r="X6" s="30">
        <v>0</v>
      </c>
      <c r="Y6" s="22">
        <v>109</v>
      </c>
      <c r="Z6" s="31">
        <v>1.82</v>
      </c>
      <c r="AA6" s="29">
        <f>Y6/(Z6*Z6)</f>
        <v>32.906653785774665</v>
      </c>
      <c r="AB6" s="22">
        <v>3</v>
      </c>
      <c r="AC6" s="22" t="s">
        <v>299</v>
      </c>
      <c r="AD6" s="22">
        <v>0</v>
      </c>
      <c r="AE6" s="22">
        <v>1</v>
      </c>
      <c r="AF6" s="22" t="s">
        <v>300</v>
      </c>
      <c r="AG6" s="22">
        <v>1</v>
      </c>
      <c r="AH6" s="22">
        <v>0</v>
      </c>
      <c r="AI6" s="32">
        <v>0</v>
      </c>
      <c r="AJ6" s="32">
        <v>0</v>
      </c>
      <c r="AK6" s="22">
        <v>0</v>
      </c>
      <c r="AL6" s="33">
        <v>0.55208333333333337</v>
      </c>
      <c r="AM6" s="33">
        <v>0.65625</v>
      </c>
      <c r="AN6" s="33">
        <f>AM6-AL6</f>
        <v>0.10416666666666663</v>
      </c>
      <c r="AO6" s="22">
        <f>AN6*1440</f>
        <v>149.99999999999994</v>
      </c>
      <c r="AP6" s="22">
        <v>0</v>
      </c>
      <c r="AQ6" s="24">
        <v>0</v>
      </c>
      <c r="AR6" s="22" t="s">
        <v>225</v>
      </c>
      <c r="AS6" s="22" t="s">
        <v>225</v>
      </c>
      <c r="AT6" s="22" t="s">
        <v>263</v>
      </c>
      <c r="AU6" s="28" t="s">
        <v>225</v>
      </c>
      <c r="AV6" s="22">
        <v>1</v>
      </c>
      <c r="AW6" s="22">
        <v>0</v>
      </c>
      <c r="AX6" s="22">
        <v>0</v>
      </c>
      <c r="AY6" s="22">
        <v>0</v>
      </c>
      <c r="AZ6" s="22" t="s">
        <v>225</v>
      </c>
      <c r="BA6" s="23" t="s">
        <v>225</v>
      </c>
      <c r="BB6" s="22" t="s">
        <v>225</v>
      </c>
      <c r="BC6" s="22">
        <v>0</v>
      </c>
      <c r="BD6" s="22" t="s">
        <v>225</v>
      </c>
      <c r="BE6" s="23" t="s">
        <v>225</v>
      </c>
      <c r="BF6" s="22" t="s">
        <v>225</v>
      </c>
      <c r="BG6" s="22">
        <v>1</v>
      </c>
      <c r="BH6" s="22" t="s">
        <v>226</v>
      </c>
      <c r="BI6" s="22" t="s">
        <v>301</v>
      </c>
      <c r="BJ6" s="22" t="s">
        <v>302</v>
      </c>
      <c r="BK6" s="22">
        <v>1</v>
      </c>
      <c r="BL6" s="22">
        <v>4.5</v>
      </c>
      <c r="BM6" s="22">
        <v>3</v>
      </c>
      <c r="BN6" s="22">
        <v>2</v>
      </c>
      <c r="BO6" s="22">
        <v>0</v>
      </c>
      <c r="BP6" s="22" t="s">
        <v>225</v>
      </c>
      <c r="BQ6" s="22">
        <v>0</v>
      </c>
      <c r="BR6" s="22">
        <v>3</v>
      </c>
      <c r="BS6" s="22" t="s">
        <v>225</v>
      </c>
      <c r="BT6" s="22" t="s">
        <v>225</v>
      </c>
      <c r="BU6" s="22" t="s">
        <v>225</v>
      </c>
      <c r="BV6" s="22" t="s">
        <v>225</v>
      </c>
      <c r="BW6" s="22">
        <v>0</v>
      </c>
      <c r="BX6" s="22" t="s">
        <v>225</v>
      </c>
      <c r="BY6" s="22" t="s">
        <v>225</v>
      </c>
      <c r="BZ6" s="22" t="s">
        <v>225</v>
      </c>
      <c r="CA6" s="22">
        <v>1</v>
      </c>
      <c r="CB6" s="22">
        <v>5</v>
      </c>
      <c r="CC6" s="22">
        <v>29</v>
      </c>
      <c r="CD6" s="34">
        <f>CB6/CC6</f>
        <v>0.17241379310344829</v>
      </c>
      <c r="CE6" s="22">
        <v>1</v>
      </c>
      <c r="CF6" s="22">
        <v>1</v>
      </c>
      <c r="CG6" s="22" t="s">
        <v>263</v>
      </c>
      <c r="CH6" s="22">
        <v>1</v>
      </c>
      <c r="CI6" s="22" t="s">
        <v>303</v>
      </c>
      <c r="CJ6" s="22">
        <v>20.5</v>
      </c>
      <c r="CK6" s="22">
        <v>15.3</v>
      </c>
      <c r="CL6" s="22" t="s">
        <v>304</v>
      </c>
      <c r="CM6" s="22" t="s">
        <v>305</v>
      </c>
      <c r="CN6" s="22" t="s">
        <v>225</v>
      </c>
      <c r="CO6" s="32" t="s">
        <v>225</v>
      </c>
      <c r="CP6" s="32" t="s">
        <v>225</v>
      </c>
      <c r="CQ6" s="22">
        <v>14.9</v>
      </c>
      <c r="CR6" s="32">
        <v>0</v>
      </c>
      <c r="CS6" s="22">
        <v>0</v>
      </c>
      <c r="CT6" s="22">
        <v>0</v>
      </c>
      <c r="CU6" s="22">
        <v>600</v>
      </c>
      <c r="CV6" s="22">
        <v>0</v>
      </c>
      <c r="CW6" s="22">
        <v>0</v>
      </c>
      <c r="CX6" s="35" t="s">
        <v>273</v>
      </c>
      <c r="CY6" s="23">
        <v>45561</v>
      </c>
      <c r="CZ6" s="36" t="s">
        <v>306</v>
      </c>
      <c r="DA6" s="29">
        <f>DB6/60</f>
        <v>3.4833333333333334</v>
      </c>
      <c r="DB6" s="29">
        <v>209</v>
      </c>
      <c r="DC6" s="22">
        <f>DD6/60</f>
        <v>0.38333333333333336</v>
      </c>
      <c r="DD6" s="22">
        <v>23</v>
      </c>
      <c r="DE6" s="22">
        <v>1</v>
      </c>
      <c r="DF6" s="22">
        <v>1</v>
      </c>
      <c r="DG6" s="23">
        <v>45564</v>
      </c>
      <c r="DH6" s="22">
        <v>200</v>
      </c>
      <c r="DI6" s="22">
        <f>DJ6/60</f>
        <v>1.6666666666666667</v>
      </c>
      <c r="DJ6" s="22">
        <v>100</v>
      </c>
      <c r="DK6" s="22">
        <f>DL6/60</f>
        <v>0.6166666666666667</v>
      </c>
      <c r="DL6" s="22">
        <v>37</v>
      </c>
      <c r="DM6" s="22">
        <v>1</v>
      </c>
      <c r="DN6" s="22">
        <v>0</v>
      </c>
      <c r="DO6" s="22">
        <v>1</v>
      </c>
      <c r="DP6" s="22">
        <v>2</v>
      </c>
      <c r="DQ6" s="22">
        <v>0</v>
      </c>
      <c r="DR6" s="22">
        <v>1</v>
      </c>
      <c r="DS6" s="22">
        <v>0</v>
      </c>
      <c r="DT6" s="22">
        <v>1</v>
      </c>
      <c r="DU6" s="22" t="s">
        <v>307</v>
      </c>
      <c r="DV6" s="22">
        <v>0</v>
      </c>
      <c r="DW6" s="22">
        <v>0</v>
      </c>
      <c r="DX6" s="22" t="s">
        <v>225</v>
      </c>
      <c r="DY6" s="22">
        <v>0</v>
      </c>
      <c r="DZ6" s="22" t="s">
        <v>225</v>
      </c>
      <c r="EA6" s="22">
        <v>1</v>
      </c>
      <c r="EB6" s="22" t="s">
        <v>308</v>
      </c>
      <c r="EC6" s="22">
        <v>0</v>
      </c>
      <c r="ED6" s="22">
        <v>0</v>
      </c>
      <c r="EE6" s="22">
        <v>0</v>
      </c>
      <c r="EF6" s="22">
        <v>0</v>
      </c>
      <c r="EG6" s="22">
        <v>0</v>
      </c>
      <c r="EH6" s="22">
        <v>0</v>
      </c>
      <c r="EI6" s="22" t="s">
        <v>287</v>
      </c>
      <c r="EJ6" s="23">
        <v>45561</v>
      </c>
      <c r="EK6" s="23"/>
      <c r="EL6" s="22">
        <f>EJ6-G6</f>
        <v>3</v>
      </c>
      <c r="EM6" s="32">
        <v>0</v>
      </c>
      <c r="EN6" s="22" t="s">
        <v>225</v>
      </c>
      <c r="EO6" s="22" t="s">
        <v>225</v>
      </c>
      <c r="EP6" s="22" t="s">
        <v>225</v>
      </c>
      <c r="EQ6" s="22" t="s">
        <v>225</v>
      </c>
      <c r="ER6" s="32">
        <v>0</v>
      </c>
      <c r="ES6" s="22" t="s">
        <v>225</v>
      </c>
      <c r="ET6" s="22" t="s">
        <v>225</v>
      </c>
      <c r="EU6" s="22" t="s">
        <v>225</v>
      </c>
      <c r="EV6" s="32">
        <v>0</v>
      </c>
      <c r="EW6" s="32">
        <v>0</v>
      </c>
      <c r="EX6" s="32" t="s">
        <v>225</v>
      </c>
      <c r="EY6" s="32" t="s">
        <v>225</v>
      </c>
      <c r="EZ6" s="32" t="s">
        <v>225</v>
      </c>
      <c r="FA6" s="32" t="s">
        <v>225</v>
      </c>
      <c r="FB6" s="23">
        <v>45559</v>
      </c>
      <c r="FC6" s="22">
        <f>FB6-G6</f>
        <v>1</v>
      </c>
      <c r="FD6" s="32">
        <v>0</v>
      </c>
      <c r="FE6" s="22">
        <v>0</v>
      </c>
      <c r="FF6" s="22"/>
      <c r="FG6" s="22"/>
      <c r="FH6" s="37">
        <v>45618</v>
      </c>
      <c r="FI6" s="22">
        <v>0</v>
      </c>
      <c r="FJ6" s="22" t="s">
        <v>225</v>
      </c>
      <c r="FK6" s="28" t="s">
        <v>225</v>
      </c>
      <c r="FL6" s="28" t="s">
        <v>225</v>
      </c>
      <c r="FM6" s="22" t="s">
        <v>225</v>
      </c>
      <c r="FN6" s="28" t="s">
        <v>225</v>
      </c>
      <c r="FO6" s="22">
        <f>FH6-G6</f>
        <v>60</v>
      </c>
      <c r="FP6" s="22">
        <v>1</v>
      </c>
      <c r="FQ6" s="32" t="s">
        <v>229</v>
      </c>
      <c r="FR6" s="38">
        <v>45598</v>
      </c>
      <c r="FS6" s="32">
        <f>FR6-G6</f>
        <v>40</v>
      </c>
      <c r="FT6" s="22">
        <v>1</v>
      </c>
      <c r="FU6" s="22" t="s">
        <v>284</v>
      </c>
      <c r="FV6" s="39">
        <v>45598</v>
      </c>
      <c r="FW6" s="22">
        <f>FV6-G6</f>
        <v>40</v>
      </c>
      <c r="FX6" s="22">
        <v>0</v>
      </c>
      <c r="FY6" s="22" t="s">
        <v>225</v>
      </c>
      <c r="FZ6" s="22"/>
      <c r="GA6" s="22">
        <v>137</v>
      </c>
      <c r="GB6" s="22">
        <v>65</v>
      </c>
      <c r="GC6" s="22">
        <f>(1-(GB6/GA6))*100</f>
        <v>52.554744525547449</v>
      </c>
      <c r="GD6" s="22" t="s">
        <v>225</v>
      </c>
      <c r="GE6" s="22">
        <v>41.2</v>
      </c>
      <c r="GF6" s="22" t="s">
        <v>225</v>
      </c>
      <c r="GG6" s="22">
        <v>2.5</v>
      </c>
      <c r="GH6" s="22">
        <v>17</v>
      </c>
      <c r="GI6" s="39">
        <v>45611</v>
      </c>
      <c r="GJ6" s="22">
        <v>0</v>
      </c>
      <c r="GK6" s="22">
        <v>0</v>
      </c>
      <c r="GL6" s="22">
        <v>0</v>
      </c>
      <c r="GM6" s="22">
        <v>103</v>
      </c>
      <c r="GN6" s="22"/>
      <c r="GO6" s="22">
        <v>1.75</v>
      </c>
      <c r="GP6" s="22">
        <v>6</v>
      </c>
      <c r="GQ6" s="22">
        <v>105</v>
      </c>
      <c r="GR6" s="22">
        <v>31.7</v>
      </c>
      <c r="GS6" s="22">
        <v>1</v>
      </c>
      <c r="GT6" s="22">
        <v>1</v>
      </c>
      <c r="GU6" s="22">
        <v>65</v>
      </c>
      <c r="GV6" s="22">
        <v>2.8</v>
      </c>
      <c r="GW6" s="22">
        <v>19.3</v>
      </c>
      <c r="GX6" s="22" t="s">
        <v>225</v>
      </c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 t="s">
        <v>225</v>
      </c>
      <c r="HP6" s="22" t="s">
        <v>225</v>
      </c>
      <c r="HQ6" s="22">
        <v>130</v>
      </c>
      <c r="HR6" s="22" t="s">
        <v>225</v>
      </c>
      <c r="HS6" s="22">
        <v>82.4</v>
      </c>
      <c r="HT6" s="22" t="s">
        <v>309</v>
      </c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</row>
  </sheetData>
  <sortState ref="A2:IF45">
    <sortCondition ref="BG2:BG45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CHU-Nantes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REGENET Nicolas</dc:creator>
  <cp:lastModifiedBy>REGENET Nicolas</cp:lastModifiedBy>
  <dcterms:created xsi:type="dcterms:W3CDTF">2024-12-04T08:56:57Z</dcterms:created>
  <dcterms:modified xsi:type="dcterms:W3CDTF">2024-12-04T09:01:31Z</dcterms:modified>
</cp:coreProperties>
</file>