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P++JeuBtk3o1stV+S8jfEbvBE5tAvutjAciyNAG9Tds="/>
    </ext>
  </extLst>
</workbook>
</file>

<file path=xl/sharedStrings.xml><?xml version="1.0" encoding="utf-8"?>
<sst xmlns="http://schemas.openxmlformats.org/spreadsheetml/2006/main" count="2636" uniqueCount="675">
  <si>
    <t>ville</t>
  </si>
  <si>
    <t>nOR ID</t>
  </si>
  <si>
    <t>Identifiant</t>
  </si>
  <si>
    <t>Date de naissance</t>
  </si>
  <si>
    <t>Date d'entrée</t>
  </si>
  <si>
    <t>Date de sortie</t>
  </si>
  <si>
    <t>date d'opération</t>
  </si>
  <si>
    <t>AGE à l'intervention</t>
  </si>
  <si>
    <t>age(0&lt;70;1&gt;70)</t>
  </si>
  <si>
    <t>Durée hospit</t>
  </si>
  <si>
    <t>sexe(F=1;M=0)</t>
  </si>
  <si>
    <t>poids</t>
  </si>
  <si>
    <t>taille</t>
  </si>
  <si>
    <t>BMI</t>
  </si>
  <si>
    <t>ASA</t>
  </si>
  <si>
    <t>Antécédent médicaux</t>
  </si>
  <si>
    <t>Diabete (oui=1)</t>
  </si>
  <si>
    <t>HTA (oui=1</t>
  </si>
  <si>
    <t>Antécédent chirurgicaux</t>
  </si>
  <si>
    <t>cœur</t>
  </si>
  <si>
    <t>poumon</t>
  </si>
  <si>
    <t>allergie</t>
  </si>
  <si>
    <t>Drainage pré op ( prothese biliaire)</t>
  </si>
  <si>
    <t>heure incision</t>
  </si>
  <si>
    <t>heure fermeture</t>
  </si>
  <si>
    <t>durée op</t>
  </si>
  <si>
    <t>durée min</t>
  </si>
  <si>
    <t>sando=0 / somatuline=1 per op;2=rien</t>
  </si>
  <si>
    <t>drainage biliaire (oui=1)</t>
  </si>
  <si>
    <t>Habituelle (oui=1)</t>
  </si>
  <si>
    <t>différence du drainage habituelle</t>
  </si>
  <si>
    <t>TTT Néoadjuvant (1=oui;0=non)</t>
  </si>
  <si>
    <t>diagnostique préop</t>
  </si>
  <si>
    <t>SUV max PET</t>
  </si>
  <si>
    <t>conservation pylorique (oui=1)</t>
  </si>
  <si>
    <t>jéjunostomie (oui=1)</t>
  </si>
  <si>
    <t>résection veine port  (oui=1)</t>
  </si>
  <si>
    <t>type de resection 0 lat;1 tronc</t>
  </si>
  <si>
    <t>longueur de vp (cm)</t>
  </si>
  <si>
    <t>vp envahie 0=non;1=adventice;2=musc</t>
  </si>
  <si>
    <t>drainage radiologique  (oui=1)</t>
  </si>
  <si>
    <t>cause drainage</t>
  </si>
  <si>
    <t>date</t>
  </si>
  <si>
    <t>Jour post op drainage</t>
  </si>
  <si>
    <t>ré op  (oui=1)</t>
  </si>
  <si>
    <t>cause ré op</t>
  </si>
  <si>
    <t>jour post op ré op</t>
  </si>
  <si>
    <t>anapath : ampullome, adenocarcinome, TIPMP</t>
  </si>
  <si>
    <t>localisation</t>
  </si>
  <si>
    <t>cholangiocarcinome(OUI=1;N=0)</t>
  </si>
  <si>
    <t>adenok(N=0)</t>
  </si>
  <si>
    <t>BENIN (OUI=O;1=chol;2=pan;3=ampu;4=endo;5=duo;6=autre)</t>
  </si>
  <si>
    <t>autres</t>
  </si>
  <si>
    <t>anapath PLUS</t>
  </si>
  <si>
    <t>si adenocarcinome : type</t>
  </si>
  <si>
    <t>degre de diff 0=bien,1=moy,2=peu</t>
  </si>
  <si>
    <t>taille tumeur en cm</t>
  </si>
  <si>
    <t>si adenocarcinome : t</t>
  </si>
  <si>
    <t>si adenocarcinome : n</t>
  </si>
  <si>
    <t>si adenocarcinome : m</t>
  </si>
  <si>
    <t>site du M1 0=gg interAoCav;1=CP;2=MH</t>
  </si>
  <si>
    <t>stade tumoral</t>
  </si>
  <si>
    <t>si adenocarcinome : r</t>
  </si>
  <si>
    <t>SITE r1</t>
  </si>
  <si>
    <t>picking inter Aocave(0=non;1=oui)</t>
  </si>
  <si>
    <t>nb gg inter Ao cave</t>
  </si>
  <si>
    <t>Ki-67(%)</t>
  </si>
  <si>
    <t>INDEX MITIOTIQUE(mit/10chps*400)</t>
  </si>
  <si>
    <t>histone3(mit/10chps*400)</t>
  </si>
  <si>
    <t>TIPMP 1=oui,0=non</t>
  </si>
  <si>
    <t>TIPMP (canal primaire=0, secondaire=1 mix=2)</t>
  </si>
  <si>
    <t>typede cancer 1=tubulaire,2=colloid,0=normal,3=oncocytaire</t>
  </si>
  <si>
    <t>origine de tipmp 0=intes;1=pancreatobil;2=gastric;3=oncocy</t>
  </si>
  <si>
    <t>gg+(1=oui;0=non)</t>
  </si>
  <si>
    <t>Nombre de ganglions envahis</t>
  </si>
  <si>
    <t>Nombre de ganglion observés</t>
  </si>
  <si>
    <t>ratiogg+/gg</t>
  </si>
  <si>
    <t>GG+ (0=0;1=&lt;0,2;2=&gt;0,2)</t>
  </si>
  <si>
    <t>Embol peri-nerveux  (oui=1)</t>
  </si>
  <si>
    <t>Echo endo pré op  (oui=1)</t>
  </si>
  <si>
    <t>diagnostique echo endo</t>
  </si>
  <si>
    <t>scanner pré op  (oui=1)</t>
  </si>
  <si>
    <t>diagnostique scanner</t>
  </si>
  <si>
    <t>taux de bilirubine préop</t>
  </si>
  <si>
    <t>taux d'hémoglobine pré op</t>
  </si>
  <si>
    <t>marqueur tumoraux preop (ca 19,9)</t>
  </si>
  <si>
    <t>marqueur tumoraux postop (ca 19,9)</t>
  </si>
  <si>
    <t>bile infecté  (oui=1)</t>
  </si>
  <si>
    <t>antibio en réa (???) ou  au sein du service</t>
  </si>
  <si>
    <t>date dbt</t>
  </si>
  <si>
    <t>délai ATB ttt</t>
  </si>
  <si>
    <t>taux d'hémoglobine post op</t>
  </si>
  <si>
    <t>VOL pertes sang(ml)</t>
  </si>
  <si>
    <t>durée du séjour en réa</t>
  </si>
  <si>
    <t>transfusion per op  (oui=1)</t>
  </si>
  <si>
    <t>culot transfusé per op</t>
  </si>
  <si>
    <t>transfusion  (oui=1)</t>
  </si>
  <si>
    <t>nombre de culot transfusé tot</t>
  </si>
  <si>
    <t>transfusion pre op,  per op, post op</t>
  </si>
  <si>
    <t>date J3 amylase</t>
  </si>
  <si>
    <t>J3                  volume du liquide dans le drain (en ml)</t>
  </si>
  <si>
    <t>J3                             amylase dans le drain (µKat/l)</t>
  </si>
  <si>
    <t>J3                             amylase dans le drain (UI/l)</t>
  </si>
  <si>
    <t>J3                    amylase dans le sang</t>
  </si>
  <si>
    <t>J3                    amylase dans le sang (UI/L)</t>
  </si>
  <si>
    <t>fistule crit int</t>
  </si>
  <si>
    <t>Fistule à J3</t>
  </si>
  <si>
    <t>date J5 amylase</t>
  </si>
  <si>
    <t>J5                 volume du liquide dans le drain (en ml)</t>
  </si>
  <si>
    <t>J5                            amylase dans le drain (µKat/l)</t>
  </si>
  <si>
    <t>J5                            amylase dans le drain (Ui/l)</t>
  </si>
  <si>
    <t>J5                 amylase dans le sang</t>
  </si>
  <si>
    <t>J5                 amylase dans le sang (Ui/L)</t>
  </si>
  <si>
    <t>Fistule à J5</t>
  </si>
  <si>
    <t>collection à l'echo  (oui=1)</t>
  </si>
  <si>
    <t>complication  (oui=1)</t>
  </si>
  <si>
    <t>Infection urinaire  (oui=1)</t>
  </si>
  <si>
    <t xml:space="preserve"> fistule pancréatique  (oui=1)</t>
  </si>
  <si>
    <t>grade de fistule(0=non;1=A  tt med pas aug hospit;2=B tt invasif;3=Creop infec)</t>
  </si>
  <si>
    <t>gastroparésie  (oui=1)</t>
  </si>
  <si>
    <t xml:space="preserve"> autres  (oui=1)</t>
  </si>
  <si>
    <t>autres=</t>
  </si>
  <si>
    <t>pulmonaire (oui=1)</t>
  </si>
  <si>
    <t>préciser</t>
  </si>
  <si>
    <t>cardiaque (oui=1)</t>
  </si>
  <si>
    <t>thrombo-embol (oui=1)</t>
  </si>
  <si>
    <t>AVC (oui=1)</t>
  </si>
  <si>
    <t>infection KT (oui=1)</t>
  </si>
  <si>
    <t>hemorragie (oui=1)</t>
  </si>
  <si>
    <t>abces de paroi (oui=1)</t>
  </si>
  <si>
    <t>abces profond (oui=1)</t>
  </si>
  <si>
    <t>somatuline, sandostatine, rien,  dm</t>
  </si>
  <si>
    <t>date début somatuline</t>
  </si>
  <si>
    <t>erythromycine per-op(1=o;0=N)</t>
  </si>
  <si>
    <t>jour post op somatuline</t>
  </si>
  <si>
    <t>gastroparésie (prise d'Erythromicine) (oui=1)</t>
  </si>
  <si>
    <t>date début érythro</t>
  </si>
  <si>
    <t>date fin érythro</t>
  </si>
  <si>
    <t>durée érythro</t>
  </si>
  <si>
    <t>gastroparésie resolutive : erythromicine (oui=1, non=0)</t>
  </si>
  <si>
    <t>gastroparésie ( FOGD réalisé)</t>
  </si>
  <si>
    <t>date FOGD</t>
  </si>
  <si>
    <t>bilan FOGD</t>
  </si>
  <si>
    <t>gastroparésie resolutive : fibro FOGD (oui=1, non=0)</t>
  </si>
  <si>
    <t>date début entéral</t>
  </si>
  <si>
    <t>date fin enteral</t>
  </si>
  <si>
    <t>delai enteral</t>
  </si>
  <si>
    <t>Durée enteral</t>
  </si>
  <si>
    <t>date reprise alimenta°</t>
  </si>
  <si>
    <t>jour réintroduction alimentation  post op</t>
  </si>
  <si>
    <t>grade de gastroparesie(A=1(&gt;7);B=2(&gt;14);C=3(&gt;21))</t>
  </si>
  <si>
    <t>convalescence à la sortie (oui=1, non=0)</t>
  </si>
  <si>
    <t>déces en hospit  (oui=1)</t>
  </si>
  <si>
    <t>chimio1 / radio2 / radio chimio3</t>
  </si>
  <si>
    <t>Type chimio 1 er ttt</t>
  </si>
  <si>
    <t>en vie jusqu'au</t>
  </si>
  <si>
    <t>RLR=1,métaH=2;métaP=3;CP=0</t>
  </si>
  <si>
    <t>date RLR</t>
  </si>
  <si>
    <t>delai redux</t>
  </si>
  <si>
    <t>TT RLR(0=soin p,1=CT,2=RTCT,chir=3</t>
  </si>
  <si>
    <t>deces suivi connu  (oui=1)</t>
  </si>
  <si>
    <t xml:space="preserve">décès le </t>
  </si>
  <si>
    <t>cause du décès</t>
  </si>
  <si>
    <t>Durée du suivie</t>
  </si>
  <si>
    <t>Apparition d'un diabète(oui=1;non=0)</t>
  </si>
  <si>
    <t>ttt antidiabétique oraux ou insuline</t>
  </si>
  <si>
    <t>date diagnostic diab</t>
  </si>
  <si>
    <t>delai ap diab</t>
  </si>
  <si>
    <t>prise d'extrait pancréatique</t>
  </si>
  <si>
    <t>lequel</t>
  </si>
  <si>
    <t>date diagnostic IPE</t>
  </si>
  <si>
    <t>delai ap IPE</t>
  </si>
  <si>
    <t>montage chir(0=child,1child+anas pied,2anse en Y;3PG)</t>
  </si>
  <si>
    <t>calibre wirsung(mm)</t>
  </si>
  <si>
    <t>texture pancréas(0=mou;1=intermed;2=dur)</t>
  </si>
  <si>
    <t>gastrostomie(0=non;1=oui)</t>
  </si>
  <si>
    <t>marge de resection A,VP,P(mm)</t>
  </si>
  <si>
    <t>longueur de jejunum (cm)</t>
  </si>
  <si>
    <t>glycemie preop</t>
  </si>
  <si>
    <t>alb preop</t>
  </si>
  <si>
    <t>hba1c preop</t>
  </si>
  <si>
    <t>volume pancreatique total</t>
  </si>
  <si>
    <t>diametre w(mm)</t>
  </si>
  <si>
    <t>epaisseur pancreas à l'isthme(cm)</t>
  </si>
  <si>
    <t>volume pancreas restant(1 mois)</t>
  </si>
  <si>
    <t>% reseque</t>
  </si>
  <si>
    <t>poid a 1 mois</t>
  </si>
  <si>
    <t>glycemie 1 mois</t>
  </si>
  <si>
    <t>hba1c 1 mois</t>
  </si>
  <si>
    <t xml:space="preserve">alb 1 mois </t>
  </si>
  <si>
    <t>elastase 1 fec1 mois</t>
  </si>
  <si>
    <t>volume pancreas restant 1 mois</t>
  </si>
  <si>
    <t>diametre wirsung 1 mois</t>
  </si>
  <si>
    <t>epaisseur isthme 1 mois</t>
  </si>
  <si>
    <t>date cs post op</t>
  </si>
  <si>
    <t>poid cs po</t>
  </si>
  <si>
    <t>glycemie cs po</t>
  </si>
  <si>
    <t>hba1c cs po</t>
  </si>
  <si>
    <t>alb cs po</t>
  </si>
  <si>
    <t>E1 fécale cs po</t>
  </si>
  <si>
    <t>poid a 6 mois</t>
  </si>
  <si>
    <t>glycemie 6 mois</t>
  </si>
  <si>
    <t>hba1c 6 mois</t>
  </si>
  <si>
    <t xml:space="preserve">alb 6 mois </t>
  </si>
  <si>
    <t>elastase 1 fec 6 mois</t>
  </si>
  <si>
    <t>volume pancreas restant 6mois</t>
  </si>
  <si>
    <t>diametre w (mm) 6mois</t>
  </si>
  <si>
    <t>epaisseur à l'isthme (cm) 6mois</t>
  </si>
  <si>
    <t>stenose anastomose (1=oui) 6 mois</t>
  </si>
  <si>
    <t>autre opération (oui=1, non=0)</t>
  </si>
  <si>
    <t>CRP à J1</t>
  </si>
  <si>
    <t>CRPà J2</t>
  </si>
  <si>
    <t>CRP à J3</t>
  </si>
  <si>
    <t>CRP à J4</t>
  </si>
  <si>
    <t>CRP à J5</t>
  </si>
  <si>
    <t>si oui</t>
  </si>
  <si>
    <t>suite</t>
  </si>
  <si>
    <t>Commentaire</t>
  </si>
  <si>
    <t>Nantes</t>
  </si>
  <si>
    <t>DA FONSECA José</t>
  </si>
  <si>
    <t>HIV, HépatiteC guerie</t>
  </si>
  <si>
    <t>PTH*2,prothese biliaire</t>
  </si>
  <si>
    <t>,</t>
  </si>
  <si>
    <t>ampulome degenere</t>
  </si>
  <si>
    <t>adk tete</t>
  </si>
  <si>
    <t>pancreas</t>
  </si>
  <si>
    <t>panin ht grade</t>
  </si>
  <si>
    <t>panin ht grade, infiltration duo et tissu graisseux peri pancreas not post</t>
  </si>
  <si>
    <t>adk</t>
  </si>
  <si>
    <t>2b</t>
  </si>
  <si>
    <t>ampulome</t>
  </si>
  <si>
    <t>ACE=2,4;CA19,9=100</t>
  </si>
  <si>
    <t>CA19,9=12</t>
  </si>
  <si>
    <t>1, myco neg</t>
  </si>
  <si>
    <t>service</t>
  </si>
  <si>
    <t>3rl</t>
  </si>
  <si>
    <t>folfirinox</t>
  </si>
  <si>
    <t>creon</t>
  </si>
  <si>
    <t>s,s,1mm</t>
  </si>
  <si>
    <t>precolique+intub jejunum+flap+gj meca+drain perdu</t>
  </si>
  <si>
    <t>Nantes ICO</t>
  </si>
  <si>
    <t>GRANGE Isabelle</t>
  </si>
  <si>
    <t>HTA</t>
  </si>
  <si>
    <t>Kt retro, meningiome</t>
  </si>
  <si>
    <t>1(folfirinox puis RCT)</t>
  </si>
  <si>
    <t>adk localement avancé</t>
  </si>
  <si>
    <t>lymphogrphie bipedieuse</t>
  </si>
  <si>
    <t>pnin bas grade, TRG1,</t>
  </si>
  <si>
    <t>RER-, pas de mutation BRCA1,2 ni PALB2</t>
  </si>
  <si>
    <t>1c</t>
  </si>
  <si>
    <t>ACE=1,7;CA19,9=2</t>
  </si>
  <si>
    <t>1(polymorphe)</t>
  </si>
  <si>
    <t>5rl</t>
  </si>
  <si>
    <t>chyloperitoine</t>
  </si>
  <si>
    <t xml:space="preserve">epanchement pleuraux </t>
  </si>
  <si>
    <t>somatuline lp 30</t>
  </si>
  <si>
    <t>1 (gem nab)</t>
  </si>
  <si>
    <t>insuline</t>
  </si>
  <si>
    <t>eurobiol</t>
  </si>
  <si>
    <t>9,8,4</t>
  </si>
  <si>
    <t>precolique+flap+gj meca+drain perdu</t>
  </si>
  <si>
    <t>GANDON Sylvie</t>
  </si>
  <si>
    <t>tabac sevre en 2012</t>
  </si>
  <si>
    <t>kt retro prothese</t>
  </si>
  <si>
    <t>1 (folfirinox 6 cures)</t>
  </si>
  <si>
    <t>adk borderline</t>
  </si>
  <si>
    <t>infiltration graisse peripancreatique,embollymphatique et veineux</t>
  </si>
  <si>
    <t>mtrg regression faible</t>
  </si>
  <si>
    <t>duodenal</t>
  </si>
  <si>
    <t>CA19,9=40</t>
  </si>
  <si>
    <t>0+3</t>
  </si>
  <si>
    <t>aeg</t>
  </si>
  <si>
    <t>s,1,5,s</t>
  </si>
  <si>
    <t>LRSY</t>
  </si>
  <si>
    <t>GUILLET Marie</t>
  </si>
  <si>
    <t>K sein,EP,AIT,resistance prot C,kt prothese,embol arterielle</t>
  </si>
  <si>
    <t>k sein,embol ahd et gd, prothese</t>
  </si>
  <si>
    <t>adk localement avance</t>
  </si>
  <si>
    <t>adk tubuleux, multiple panin ht grade,fibrose majoritaire 60%,panin bas grade sur recoupe, pc</t>
  </si>
  <si>
    <t>mTRG3</t>
  </si>
  <si>
    <t>R1m</t>
  </si>
  <si>
    <t>a+v</t>
  </si>
  <si>
    <t>ACE&lt;2;CA19,9&lt;5</t>
  </si>
  <si>
    <t>ACE=1,4;CA19,9=&lt;2</t>
  </si>
  <si>
    <t>1 (polymorphe)</t>
  </si>
  <si>
    <t>8rl</t>
  </si>
  <si>
    <t>folfirinox ou surveillance</t>
  </si>
  <si>
    <t>inframm,inframm,s</t>
  </si>
  <si>
    <t>nk</t>
  </si>
  <si>
    <t>N</t>
  </si>
  <si>
    <t>precolique+flap+gj meca</t>
  </si>
  <si>
    <t>tfs pleural surveillance</t>
  </si>
  <si>
    <t>GUILLAUME Eric</t>
  </si>
  <si>
    <t>tabac, dysthyroidie, TGO, R Aortique</t>
  </si>
  <si>
    <t>valve Ao Mecanique</t>
  </si>
  <si>
    <t>adk pancreas</t>
  </si>
  <si>
    <t>adk contingent cell idpdtes &lt;10%embol lymph et nerveux et vx</t>
  </si>
  <si>
    <t>ACE=2,5;CA19,9=71</t>
  </si>
  <si>
    <t>ACE=2;CA19,9=61,</t>
  </si>
  <si>
    <t>7rl</t>
  </si>
  <si>
    <t>s,s,s</t>
  </si>
  <si>
    <t>precolique+duct jejunum+flap+gj meca</t>
  </si>
  <si>
    <t>LERAY Arnaud</t>
  </si>
  <si>
    <t>SPÄ HlA B27, sous humira, Hemiparesie droite resolutive</t>
  </si>
  <si>
    <t>adk adenosquameux</t>
  </si>
  <si>
    <t>marge infra mm en regard veine</t>
  </si>
  <si>
    <t>CA19,9=49</t>
  </si>
  <si>
    <t>ACE=1,7;CA19,9=46</t>
  </si>
  <si>
    <t>1(2germes)</t>
  </si>
  <si>
    <t>4rl</t>
  </si>
  <si>
    <t>stenose agj</t>
  </si>
  <si>
    <t>1(gem)</t>
  </si>
  <si>
    <t>s, inframm,s</t>
  </si>
  <si>
    <t>VERGNEAU Catherine</t>
  </si>
  <si>
    <t>tabac 10PA, kyste ovarien</t>
  </si>
  <si>
    <t>adk canalaire infiltrant r1 sur recoupe pancreas par engainement filet nerveux</t>
  </si>
  <si>
    <t>adk canalaire infiltrant</t>
  </si>
  <si>
    <t>pancreas engainement filets nx</t>
  </si>
  <si>
    <t>ACE=2,43;CA19,9=89,1</t>
  </si>
  <si>
    <t>candida albicans</t>
  </si>
  <si>
    <t>réa</t>
  </si>
  <si>
    <t>2rl</t>
  </si>
  <si>
    <t>10,2,1</t>
  </si>
  <si>
    <t>ROBERT Bernard</t>
  </si>
  <si>
    <t>acfa, flutter, stenose tc, carcinome orl</t>
  </si>
  <si>
    <t>carcinome orl</t>
  </si>
  <si>
    <t xml:space="preserve">adk moy diff  </t>
  </si>
  <si>
    <t>VMS</t>
  </si>
  <si>
    <t>ACE=1,6;CA19,9=64,4</t>
  </si>
  <si>
    <t>1 (moganella, klebsiella pneumoniae)</t>
  </si>
  <si>
    <t>5rl+1pg5</t>
  </si>
  <si>
    <t>chylo</t>
  </si>
  <si>
    <t>2+0</t>
  </si>
  <si>
    <t>1 (gem)</t>
  </si>
  <si>
    <t>s,env,s</t>
  </si>
  <si>
    <t>precolique+duct jejunum+flap+gj meca+pontage ah ao</t>
  </si>
  <si>
    <t>ROUSSEAU Serge</t>
  </si>
  <si>
    <t>asbestose,PR, RGO</t>
  </si>
  <si>
    <t>splenectomie, occlusion sur bride, cholecystectomie</t>
  </si>
  <si>
    <t>tipmp degeneré</t>
  </si>
  <si>
    <t>3,7 pet fdg</t>
  </si>
  <si>
    <t>tipmp</t>
  </si>
  <si>
    <t>adk mucineux  sur tipmp mixte</t>
  </si>
  <si>
    <t>pancres (flaque de mucus)</t>
  </si>
  <si>
    <t>tipmp degeneree</t>
  </si>
  <si>
    <t>CA19,9=26</t>
  </si>
  <si>
    <t>2 (flore polymorphe sans predo)</t>
  </si>
  <si>
    <t>7rl+1phy</t>
  </si>
  <si>
    <t>ado</t>
  </si>
  <si>
    <t>s,1mm,s</t>
  </si>
  <si>
    <t>KAMILERIS Ioannis</t>
  </si>
  <si>
    <t>Flutter tt rx fe; HTA; adenome prostate; OH; Tabac 50PA</t>
  </si>
  <si>
    <t>1( folfirinox 6 cures)</t>
  </si>
  <si>
    <t>adk tete borderline ca19,9=1080</t>
  </si>
  <si>
    <t>adk canalaire avec composante à cellule isolee, score ryan=2 (reponse partielle)r1 sur vx mesenterique</t>
  </si>
  <si>
    <t>adk cpste cellules isolees, engainement peri nx et embol veineux peritumoraux et intra</t>
  </si>
  <si>
    <t>AMS et VMS</t>
  </si>
  <si>
    <t>adk tete border</t>
  </si>
  <si>
    <t>adk tete border ams</t>
  </si>
  <si>
    <t>CA19,9=105</t>
  </si>
  <si>
    <t>ACE=2,6,CA19,9=36</t>
  </si>
  <si>
    <t>poly microbien +candida albicans</t>
  </si>
  <si>
    <t>oesophagite,oedeme anastomose</t>
  </si>
  <si>
    <t>1( gem puis folfiri)</t>
  </si>
  <si>
    <t>AEG, Evol, Sepsis</t>
  </si>
  <si>
    <t>eurobiol 40000</t>
  </si>
  <si>
    <t>contact,contact, s</t>
  </si>
  <si>
    <t>progression apres gemzar mis sous folfiri</t>
  </si>
  <si>
    <t>progression</t>
  </si>
  <si>
    <t>GAUTIER Viviane</t>
  </si>
  <si>
    <t>ictus amnesique 2018; cystite, angiocholite</t>
  </si>
  <si>
    <t>fracture poignet, appendicectomie</t>
  </si>
  <si>
    <t>cholangiocarcinome</t>
  </si>
  <si>
    <t>adk/tipmp</t>
  </si>
  <si>
    <t>ck20,CDX2, MUC2+, MUC5AC Dog1+sur adk, pcc, LV0,IFN0</t>
  </si>
  <si>
    <t>adk/tipmp intestinale</t>
  </si>
  <si>
    <t>1a</t>
  </si>
  <si>
    <t>stenose VBP suspecte</t>
  </si>
  <si>
    <t>stenose VBP</t>
  </si>
  <si>
    <t>ACE=3,6;CA19,9=77</t>
  </si>
  <si>
    <t>CA19,9=56</t>
  </si>
  <si>
    <t>ecoli et klebsielle</t>
  </si>
  <si>
    <t>fracture du col femoral</t>
  </si>
  <si>
    <t>CLEQUIN Martine</t>
  </si>
  <si>
    <t>iu d'efforet, nevralgie pudendale,kt retro</t>
  </si>
  <si>
    <t>nevralgie pudendale</t>
  </si>
  <si>
    <t>adk sur panin de 1à3 canaux secondaires, recoupe panin 1b, pc</t>
  </si>
  <si>
    <t>marge R1 sur VMS, MSH2,MSH6,MLH1,PMS2 expression prot reparation adn</t>
  </si>
  <si>
    <t>ACE=1,2;CA19,9=77</t>
  </si>
  <si>
    <t>entero faecalis, candida albicans</t>
  </si>
  <si>
    <t>somatuline lp 60</t>
  </si>
  <si>
    <t>2mm;envahi, s</t>
  </si>
  <si>
    <t>ADJAL Allel</t>
  </si>
  <si>
    <t>adk rectum, myxofibrosarcome cuisse, gastrite hp</t>
  </si>
  <si>
    <t>resection rectum, cuisse, cataracte, HIG</t>
  </si>
  <si>
    <t>gastrite chronique sans hp, nbeux embol et angioinv, env de adventice et musculeuse portale</t>
  </si>
  <si>
    <t>ACE=2,5;CA19,9=319</t>
  </si>
  <si>
    <t>1 (E Coli)</t>
  </si>
  <si>
    <t>18rl</t>
  </si>
  <si>
    <t>1+0</t>
  </si>
  <si>
    <t>AEG,</t>
  </si>
  <si>
    <t>s,env ,s</t>
  </si>
  <si>
    <t>MORINIERE Jean</t>
  </si>
  <si>
    <t>RGO,Prostatite, thrombopenie, lymphopenie</t>
  </si>
  <si>
    <t>kt retro</t>
  </si>
  <si>
    <t>fistule, hyperleuco</t>
  </si>
  <si>
    <t>adk canalaire, embol perinx</t>
  </si>
  <si>
    <t>lobule tumoraux sur lit veine</t>
  </si>
  <si>
    <t>VP</t>
  </si>
  <si>
    <t>CA19,9=107</t>
  </si>
  <si>
    <t>CA19,9=10,3; ACE=2</t>
  </si>
  <si>
    <t>1 (E Coli +cocci g plus)</t>
  </si>
  <si>
    <t>fistule p</t>
  </si>
  <si>
    <t>epanchement</t>
  </si>
  <si>
    <t>BIZIEN Martine</t>
  </si>
  <si>
    <t>AIT, Cardiopathie hypertensive, HTA,endoprothese</t>
  </si>
  <si>
    <t>cholecystectomie, appendicectomie, KT retro</t>
  </si>
  <si>
    <t>8,25 hyper tete</t>
  </si>
  <si>
    <t>adk canalaire infiltrant R1 VP et AMS, embol nx et lymphatiques, statut pMMR</t>
  </si>
  <si>
    <t>panin 1 et 2</t>
  </si>
  <si>
    <t>VP et AMS</t>
  </si>
  <si>
    <t>ACE=2,8;CA19,9=48</t>
  </si>
  <si>
    <t>CA19,9=18</t>
  </si>
  <si>
    <t>1 (E coli, klebsiella, enterocoque faecalis et durans)</t>
  </si>
  <si>
    <t>rea</t>
  </si>
  <si>
    <t>faible contraction gastrique</t>
  </si>
  <si>
    <t>ggr+3</t>
  </si>
  <si>
    <t>creon 25000</t>
  </si>
  <si>
    <t>env,env,s</t>
  </si>
  <si>
    <t>CAILLON Nathalie</t>
  </si>
  <si>
    <t>BPCO post tabac, SAS, Obesité, HTA</t>
  </si>
  <si>
    <t>hernie ombilicale, Prothesebiliaire, OPN</t>
  </si>
  <si>
    <t>TIPMP degenere</t>
  </si>
  <si>
    <t>ADK sur TIPMP mixte gastrique et intestinal, LV1, IFN1</t>
  </si>
  <si>
    <t>cpsante canalaire majoritaire, cpsante mucineuse et cell isolées</t>
  </si>
  <si>
    <t>posterieur panc</t>
  </si>
  <si>
    <t>0+2</t>
  </si>
  <si>
    <t>ACE=2,8;CA19,9=60</t>
  </si>
  <si>
    <t>CA19,9=16,7</t>
  </si>
  <si>
    <t>5rl+1phy</t>
  </si>
  <si>
    <t>somatuline lp60</t>
  </si>
  <si>
    <t>s,s,envahi</t>
  </si>
  <si>
    <t>RABILLARD Nadine</t>
  </si>
  <si>
    <t>PA balthazarc, DNID, Dyslipidemie, Tvmes sup, CPRE</t>
  </si>
  <si>
    <t>CPRE</t>
  </si>
  <si>
    <t>adk avec cpsante minoritaire a cell isoleesLV1 PN1</t>
  </si>
  <si>
    <t>score de Ryan=3(reponse pauvre)</t>
  </si>
  <si>
    <t>adk env VMS</t>
  </si>
  <si>
    <t>adk env vms</t>
  </si>
  <si>
    <t>ACE=2,9, CA19,9=262</t>
  </si>
  <si>
    <t>1 (flore poly, cocci g +, bacille g+)</t>
  </si>
  <si>
    <t>5RL</t>
  </si>
  <si>
    <t>hemorragie sur AGJ; chyloperitoine</t>
  </si>
  <si>
    <t>thrombose VP</t>
  </si>
  <si>
    <t>1(gem nab)</t>
  </si>
  <si>
    <t>AUGER Michel</t>
  </si>
  <si>
    <t>IRC, HTA, cardiopathie ischemique, tabac 18PA</t>
  </si>
  <si>
    <t>tipmp degenere</t>
  </si>
  <si>
    <t>4,41 uncus pet fdg</t>
  </si>
  <si>
    <t>adk sur tipmp</t>
  </si>
  <si>
    <t>adk sur tipmpcanal principal type gastrique</t>
  </si>
  <si>
    <t>MUC5ac+;MUC6+/-;type gastrique canal principal, panin bas grade sur recoupe</t>
  </si>
  <si>
    <t>lit VMS</t>
  </si>
  <si>
    <t>tipmp suspecte</t>
  </si>
  <si>
    <t>ACE=3,1;CA19,9=23</t>
  </si>
  <si>
    <t>9RL</t>
  </si>
  <si>
    <t>inhalation</t>
  </si>
  <si>
    <t>arret card sur inhalation</t>
  </si>
  <si>
    <t>5,env,s</t>
  </si>
  <si>
    <t>precolique+intub jejunum+flap+gj meca</t>
  </si>
  <si>
    <t>KNIBBE Pieter</t>
  </si>
  <si>
    <t>Mutation CDKN2A/FAMM</t>
  </si>
  <si>
    <t>echo endo</t>
  </si>
  <si>
    <t>fdg pas fixation</t>
  </si>
  <si>
    <t>collection infectees sur fistule</t>
  </si>
  <si>
    <t>adk canalaire infiltrant, Panin 1à3 sur parenchyme, Panin1 tranche</t>
  </si>
  <si>
    <t>tumeur uncus</t>
  </si>
  <si>
    <t>ACE=1;CA19,9=23</t>
  </si>
  <si>
    <t xml:space="preserve">ACE=2;CA19,9=6 </t>
  </si>
  <si>
    <t>pancreatite, epanch pleuraux</t>
  </si>
  <si>
    <t>3,2,s</t>
  </si>
  <si>
    <t>NKHILI Bouchra</t>
  </si>
  <si>
    <t>TC, coma dans enfance, tabac svre</t>
  </si>
  <si>
    <t>cpre prothese</t>
  </si>
  <si>
    <t>1(folfirinox 6 cures)</t>
  </si>
  <si>
    <t>residu adk, fibrose predo, TRG2, HP+sur estomac</t>
  </si>
  <si>
    <t>0(embol vx)</t>
  </si>
  <si>
    <t>adk env&gt;180vp env agd</t>
  </si>
  <si>
    <t>ACE=1,1; CA19,9=37</t>
  </si>
  <si>
    <t>ACE=5,2;CA19,9=14</t>
  </si>
  <si>
    <t>1(e coli, kleb pneumo, kleb oxytoca)</t>
  </si>
  <si>
    <t>6rl</t>
  </si>
  <si>
    <t>6,2,3</t>
  </si>
  <si>
    <t>PELATAN Rene</t>
  </si>
  <si>
    <t>HTA, arthrose genoux</t>
  </si>
  <si>
    <t>PTG gauche, Kt retro</t>
  </si>
  <si>
    <t>adk bien diff, LV1,IFN1,pas expression prot reparation</t>
  </si>
  <si>
    <t>ACE=2,7;CA19,9=199</t>
  </si>
  <si>
    <t>ACE=5,1;CA19,9=7</t>
  </si>
  <si>
    <t>1(kleb pneumoniae, enterocoque faecalis et avium)</t>
  </si>
  <si>
    <t>9rl</t>
  </si>
  <si>
    <t>ras</t>
  </si>
  <si>
    <t>choc septique, ischemie digestive</t>
  </si>
  <si>
    <t>precolique+intub jejunum+flap+gj meca+HEMOPATCH</t>
  </si>
  <si>
    <t>SAINT-LO Virginie</t>
  </si>
  <si>
    <t>PA lithiasique, LVBP</t>
  </si>
  <si>
    <t>KT retro sans prothese</t>
  </si>
  <si>
    <t>sphintero</t>
  </si>
  <si>
    <t>1(endo)</t>
  </si>
  <si>
    <t>fistule collection</t>
  </si>
  <si>
    <t>adk bien diff, MLH1,MSH2,MSH6, PMS2 70-80% pas de pertes exp prot reparation</t>
  </si>
  <si>
    <t>VMS=0,06cm, embol nx choledoque</t>
  </si>
  <si>
    <t>ACE=0,9;CA19,9=44</t>
  </si>
  <si>
    <t>ACE=1;CA19,9=5</t>
  </si>
  <si>
    <t>0,5;0,06;,</t>
  </si>
  <si>
    <t>BARRAULT Nicole</t>
  </si>
  <si>
    <t>cardiopathie ischemique; IDM, Hypothyroidie, Prhumatoide; Phlebite</t>
  </si>
  <si>
    <t>KT Retro, coiffe rotateur epaule, appendicectomie, ovariectomie</t>
  </si>
  <si>
    <t>fdg=7,9+4,2 en avant vrG</t>
  </si>
  <si>
    <t>adk canalaire cpsante a cell claires</t>
  </si>
  <si>
    <t>treitz</t>
  </si>
  <si>
    <t>ACE=5,4;CA19,9=1303</t>
  </si>
  <si>
    <t>1( klebsiella*2,enterococcus faecium)</t>
  </si>
  <si>
    <t>hemorragie intra gastrique</t>
  </si>
  <si>
    <t>precolique+gj meca+HEMOPATCH</t>
  </si>
  <si>
    <t>KLECZINSKI Josette</t>
  </si>
  <si>
    <t>TVP, EP*2, ACFA, HTA, K sein, obesite</t>
  </si>
  <si>
    <t>appendicectomie, cholecystectomie, cataracte, canal carpien, cesarienne, CPRE, Mastectomie</t>
  </si>
  <si>
    <t>adk infiltrant, env duod sereuse, embol vx et nerf, LVF1, IFN1</t>
  </si>
  <si>
    <t>3a</t>
  </si>
  <si>
    <t>ACE=4,2;CA19,9=2</t>
  </si>
  <si>
    <t xml:space="preserve">1 (E coli, Stenotrophomonas maltophilia, Enterobacter  cloacae </t>
  </si>
  <si>
    <t>0 (CI Card)</t>
  </si>
  <si>
    <t>ischemie hepatique, DVM,anevrisme branche AHD</t>
  </si>
  <si>
    <t>TABTI Mustapha</t>
  </si>
  <si>
    <t>DNID, Fx de Kent asympto, hypercholesterol, ulcére</t>
  </si>
  <si>
    <t>panari main, Kt retro</t>
  </si>
  <si>
    <t>1(folfirinox 9 cures)</t>
  </si>
  <si>
    <t>adk pancreas border</t>
  </si>
  <si>
    <t>adkmoy diff, engainementperi nx et embol lymph, contact VMS, TRG4</t>
  </si>
  <si>
    <t>TRG4(tumeur&gt;fibrose)</t>
  </si>
  <si>
    <t>ACE=1,7;CA19,9=199</t>
  </si>
  <si>
    <t>ACE=1,85; CA19,9=27,6</t>
  </si>
  <si>
    <t>1(4germes)</t>
  </si>
  <si>
    <t>ischemie veineuse anse montée, lymphangite bras</t>
  </si>
  <si>
    <t>s,&lt;1mm,s</t>
  </si>
  <si>
    <t>GERGAUD Martine</t>
  </si>
  <si>
    <t>IRcC, Greffe renal, HTA, DNID, SAOS, PR, HH</t>
  </si>
  <si>
    <t>PTH, Hysterectomie, appendicectomie</t>
  </si>
  <si>
    <t>embol agd</t>
  </si>
  <si>
    <t>adk moy diff, contact AMS</t>
  </si>
  <si>
    <t>AMS</t>
  </si>
  <si>
    <t>ACE=4;CA19,9=2</t>
  </si>
  <si>
    <t>1(citrobacter)</t>
  </si>
  <si>
    <t>insf cardiaque</t>
  </si>
  <si>
    <t>insf</t>
  </si>
  <si>
    <t>contact, 0,5, s</t>
  </si>
  <si>
    <t>MELEUC Vincent</t>
  </si>
  <si>
    <t>asthme, psoriasis</t>
  </si>
  <si>
    <t>adk pancreas border ct neo</t>
  </si>
  <si>
    <t>adk infiltrant, reponse chimio grade 2(plus de cellule tum que fibrose) pas de perte expression des prot repar</t>
  </si>
  <si>
    <t>LV0,IFN0, HER2=0, BRCA1,2PALB2 negatif</t>
  </si>
  <si>
    <t>ACE=6,2;CA19,9=2</t>
  </si>
  <si>
    <t>ACE=9,26;CA19,9=2</t>
  </si>
  <si>
    <t>1(e coli+klebsielle R+myco)</t>
  </si>
  <si>
    <t>eurobiol 25000</t>
  </si>
  <si>
    <t>AZAIS Anita</t>
  </si>
  <si>
    <t>BPCO severe, tabac 45PA, DNID, inf HP</t>
  </si>
  <si>
    <t>conisation, ktretro prothese</t>
  </si>
  <si>
    <t>1(folfirinox)</t>
  </si>
  <si>
    <t>hyper FdG</t>
  </si>
  <si>
    <t>adk peu diff morpho mixte tubuleux bague a chaton rhabdoide, panin grade 1, embol perinerveux, pas vscu</t>
  </si>
  <si>
    <t>TRG5 pas de regression, panin 1 tranche</t>
  </si>
  <si>
    <t>vp</t>
  </si>
  <si>
    <t>Ca19,9=114</t>
  </si>
  <si>
    <t xml:space="preserve">CA19,9=9 </t>
  </si>
  <si>
    <t>1(klebsiellapneumo, enterocccus faec, candida alb et tropi)</t>
  </si>
  <si>
    <t>12rl</t>
  </si>
  <si>
    <t>hemorragie; hypoglycemie</t>
  </si>
  <si>
    <t>thrombose splenique</t>
  </si>
  <si>
    <t>8,&lt;1mm,s</t>
  </si>
  <si>
    <t>precolique+duct jejunum+flap+gj meca+hemopatch</t>
  </si>
  <si>
    <t>CLEMENT Francis</t>
  </si>
  <si>
    <t>adk pancreas avec MH 2021</t>
  </si>
  <si>
    <t>cholecystectomie, metastase hepatique; chir genou, arthrdese cervicale</t>
  </si>
  <si>
    <t>1(folfirinox puis 5fu entretien)</t>
  </si>
  <si>
    <t>adk tete+MH (7)</t>
  </si>
  <si>
    <t>hyper fdg</t>
  </si>
  <si>
    <t>adk pancreas tubuleux, TRG5, panin ht grade sur tranche</t>
  </si>
  <si>
    <t>gist gastrique5mm</t>
  </si>
  <si>
    <t>adk+MH</t>
  </si>
  <si>
    <t>ACE=2,1;CA19,9=42,1</t>
  </si>
  <si>
    <t>ACE=1,97; CA19,9=52</t>
  </si>
  <si>
    <t>1(rare BGP et CGP, candida glabatra)</t>
  </si>
  <si>
    <t>6,4,s</t>
  </si>
  <si>
    <t>DURASSIER Alain</t>
  </si>
  <si>
    <t>HTA, DNID, FA(xarelto), IRC</t>
  </si>
  <si>
    <t>PTH bilat, canal carpien, hygroma genou, peritonitr biliaire suite axios</t>
  </si>
  <si>
    <t>1 (8 cures folfirinox)</t>
  </si>
  <si>
    <t>adk tubuleux, TRG5 pas de reponse</t>
  </si>
  <si>
    <t>trg5, mucocele appendiculaire de 3cm, R1 lit VP</t>
  </si>
  <si>
    <t>lit VP</t>
  </si>
  <si>
    <t>CA19,9=79,7</t>
  </si>
  <si>
    <t>1(e coli, klebsiella pneumo Resistant), candida glabrata et tropicalis)</t>
  </si>
  <si>
    <t>7rl+2pfc</t>
  </si>
  <si>
    <t>thrombose partielle VP</t>
  </si>
  <si>
    <t>VMS et VP</t>
  </si>
  <si>
    <t>3,envahi, s</t>
  </si>
  <si>
    <t>THIBAULT Jean</t>
  </si>
  <si>
    <t>HTA, EP, tabac sevre, hyperuricemie, oh</t>
  </si>
  <si>
    <t>meta hepatique , adenome colique, menisque, luxation epaule</t>
  </si>
  <si>
    <t>1(12 cures folfirinox)</t>
  </si>
  <si>
    <t>adk tete avec MH</t>
  </si>
  <si>
    <t>FdG=22,3;Ga hyper</t>
  </si>
  <si>
    <t>carcinome indiff cellule geante pseudo osteoclasique</t>
  </si>
  <si>
    <t>trg5, AE1/AE3+ mais aussi contingent sarcomatoide AE1/3-, cellule geante CD68+,CD163-</t>
  </si>
  <si>
    <t xml:space="preserve">carcinome </t>
  </si>
  <si>
    <t>ACE=2;CA19,9=140</t>
  </si>
  <si>
    <t>4rl+1pg5</t>
  </si>
  <si>
    <t>DEHAN Joel</t>
  </si>
  <si>
    <t>hyper aldo primaire, HTA,DID, SAS, HH</t>
  </si>
  <si>
    <t>PTG, Laparo explo picking positif</t>
  </si>
  <si>
    <t>adk ampoule</t>
  </si>
  <si>
    <t>adk bien a moy diff , embol vx +, score de ryan =1 (reponse quasi complete)</t>
  </si>
  <si>
    <t>0-1</t>
  </si>
  <si>
    <t xml:space="preserve">CA19,9=45 </t>
  </si>
  <si>
    <t>1(E.coli, K.pneumoniae et E.faecalis)</t>
  </si>
  <si>
    <t>BALAVOINE Catherine</t>
  </si>
  <si>
    <t>cancer sein</t>
  </si>
  <si>
    <t>zonectomie gg sentinel, ovariectomie g kyste</t>
  </si>
  <si>
    <t>tne tete pancreas</t>
  </si>
  <si>
    <t>hyper FdG, suv 193 Ga dotatoc</t>
  </si>
  <si>
    <t>tne</t>
  </si>
  <si>
    <t>tumeur neuroendocrine bien différenciée de la tête du pancréas de grade 1</t>
  </si>
  <si>
    <t>kératine AE1/AE3, CD56, la synaptophysine, la chromogranine A ++
 pas d’expression de la gastrine, de l’insuline, de la somatostatine ou du glucagon dans la tumeur.</t>
  </si>
  <si>
    <t>Cga=92,NSE=3,5</t>
  </si>
  <si>
    <t>atelectasie, epanchement pleural</t>
  </si>
  <si>
    <t>tachycardie sinusale</t>
  </si>
  <si>
    <t>FERRE Clara</t>
  </si>
  <si>
    <t>HTA, Dysthyroidie</t>
  </si>
  <si>
    <t>thyroidectomie totale, promontofixation</t>
  </si>
  <si>
    <t>suv74 ga</t>
  </si>
  <si>
    <t xml:space="preserve">tne bien diff, grade 2, synapto et CgA heterogene, </t>
  </si>
  <si>
    <t>tne tete</t>
  </si>
  <si>
    <t>Cga=85</t>
  </si>
  <si>
    <t>6rl+1phy</t>
  </si>
  <si>
    <t>pneumopathie inf dte</t>
  </si>
  <si>
    <t>ALLEN Aurelie</t>
  </si>
  <si>
    <t>SZE, Ulcere duod, diarrhee</t>
  </si>
  <si>
    <t>gastrinome pancreas</t>
  </si>
  <si>
    <t>ga=41</t>
  </si>
  <si>
    <t>fistule pancreas</t>
  </si>
  <si>
    <t>abces paroie</t>
  </si>
  <si>
    <t>tne gastrinome</t>
  </si>
  <si>
    <t>tne bien diff, AE1/AE3, CgA, synapto, INSM1, CD56+</t>
  </si>
  <si>
    <t>gastrine+</t>
  </si>
  <si>
    <t>gastrinemie=396</t>
  </si>
  <si>
    <t>epanchement pleural,bronchite, chyloperitoine</t>
  </si>
  <si>
    <t>epanchement pleural,bronchite</t>
  </si>
  <si>
    <t>2,0,s</t>
  </si>
  <si>
    <t>CHAUMUZEAU Alain</t>
  </si>
  <si>
    <t>HTA, Hyperlipidemie, tabac</t>
  </si>
  <si>
    <t>prostectomie, UGD, PTH bilat, adenome colique</t>
  </si>
  <si>
    <t>tipmp mixte</t>
  </si>
  <si>
    <t>tipmp mixte avec nodule mural</t>
  </si>
  <si>
    <t>type gastrique</t>
  </si>
  <si>
    <t>tipmp DBG tranche</t>
  </si>
  <si>
    <t>tipmp mixte avec nodule de 9mm</t>
  </si>
  <si>
    <t>tipmp avec WF</t>
  </si>
  <si>
    <t>ACE=8,8; CA19,9=18,8</t>
  </si>
  <si>
    <t>1 (enterobacter cloacae)</t>
  </si>
  <si>
    <t>TAYEBI Mouloud</t>
  </si>
  <si>
    <t>AVC, hypothyroidie, DNID, tabac sevre</t>
  </si>
  <si>
    <t>FdG=4,3</t>
  </si>
  <si>
    <t>ACE=6,6;CA19,9=199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</si>
</sst>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3366FF"/>
      <name val="Arial"/>
    </font>
    <font>
      <b/>
      <sz val="10.0"/>
      <color rgb="FF0000FF"/>
      <name val="Arial"/>
    </font>
    <font>
      <b/>
      <sz val="10.0"/>
      <color rgb="FFFF0000"/>
      <name val="Arial"/>
    </font>
    <font>
      <sz val="10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10.0"/>
      <color rgb="FF3366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2" xfId="0" applyAlignment="1" applyBorder="1" applyFont="1" applyNumberForma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2" xfId="0" applyAlignment="1" applyBorder="1" applyFont="1" applyNumberFormat="1">
      <alignment horizontal="center" shrinkToFit="0" wrapText="1"/>
    </xf>
    <xf borderId="1" fillId="0" fontId="1" numFmtId="20" xfId="0" applyAlignment="1" applyBorder="1" applyFont="1" applyNumberFormat="1">
      <alignment horizontal="center" shrinkToFit="0" wrapText="1"/>
    </xf>
    <xf borderId="1" fillId="0" fontId="2" numFmtId="20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0" fontId="1" numFmtId="1" xfId="0" applyAlignment="1" applyBorder="1" applyFont="1" applyNumberFormat="1">
      <alignment horizontal="center" shrinkToFit="0" wrapText="1"/>
    </xf>
    <xf borderId="1" fillId="3" fontId="1" numFmtId="164" xfId="0" applyAlignment="1" applyBorder="1" applyFill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4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0" fontId="7" numFmtId="164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7" numFmtId="20" xfId="0" applyAlignment="1" applyBorder="1" applyFont="1" applyNumberFormat="1">
      <alignment horizontal="center"/>
    </xf>
    <xf borderId="1" fillId="0" fontId="8" numFmtId="20" xfId="0" applyAlignment="1" applyBorder="1" applyFont="1" applyNumberFormat="1">
      <alignment horizontal="center"/>
    </xf>
    <xf borderId="1" fillId="3" fontId="7" numFmtId="164" xfId="0" applyAlignment="1" applyBorder="1" applyFont="1" applyNumberFormat="1">
      <alignment horizontal="center"/>
    </xf>
    <xf borderId="1" fillId="4" fontId="6" numFmtId="0" xfId="0" applyAlignment="1" applyBorder="1" applyFont="1">
      <alignment horizontal="center" readingOrder="0"/>
    </xf>
    <xf borderId="1" fillId="5" fontId="7" numFmtId="0" xfId="0" applyAlignment="1" applyBorder="1" applyFill="1" applyFont="1">
      <alignment horizontal="center"/>
    </xf>
    <xf borderId="1" fillId="5" fontId="7" numFmtId="164" xfId="0" applyAlignment="1" applyBorder="1" applyFont="1" applyNumberFormat="1">
      <alignment horizontal="center"/>
    </xf>
    <xf borderId="1" fillId="5" fontId="8" numFmtId="0" xfId="0" applyAlignment="1" applyBorder="1" applyFont="1">
      <alignment horizontal="center"/>
    </xf>
    <xf borderId="1" fillId="5" fontId="7" numFmtId="20" xfId="0" applyAlignment="1" applyBorder="1" applyFont="1" applyNumberFormat="1">
      <alignment horizontal="center"/>
    </xf>
    <xf borderId="1" fillId="5" fontId="8" numFmtId="20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1" fillId="0" fontId="7" numFmtId="17" xfId="0" applyAlignment="1" applyBorder="1" applyFont="1" applyNumberFormat="1">
      <alignment horizontal="center"/>
    </xf>
    <xf borderId="1" fillId="0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6" width="10.71"/>
  </cols>
  <sheetData>
    <row r="1" ht="50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8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1" t="s">
        <v>45</v>
      </c>
      <c r="AU1" s="1" t="s">
        <v>42</v>
      </c>
      <c r="AV1" s="5" t="s">
        <v>46</v>
      </c>
      <c r="AW1" s="1" t="s">
        <v>47</v>
      </c>
      <c r="AX1" s="1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3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5" t="s">
        <v>106</v>
      </c>
      <c r="DE1" s="3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5" t="s">
        <v>113</v>
      </c>
      <c r="DL1" s="10" t="s">
        <v>114</v>
      </c>
      <c r="DM1" s="10" t="s">
        <v>115</v>
      </c>
      <c r="DN1" s="10" t="s">
        <v>116</v>
      </c>
      <c r="DO1" s="10" t="s">
        <v>117</v>
      </c>
      <c r="DP1" s="10" t="s">
        <v>118</v>
      </c>
      <c r="DQ1" s="10" t="s">
        <v>119</v>
      </c>
      <c r="DR1" s="10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123</v>
      </c>
      <c r="DX1" s="1" t="s">
        <v>125</v>
      </c>
      <c r="DY1" s="1" t="s">
        <v>123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5" t="s">
        <v>134</v>
      </c>
      <c r="EI1" s="1" t="s">
        <v>135</v>
      </c>
      <c r="EJ1" s="1" t="s">
        <v>136</v>
      </c>
      <c r="EK1" s="1" t="s">
        <v>137</v>
      </c>
      <c r="EL1" s="5" t="s">
        <v>138</v>
      </c>
      <c r="EM1" s="2" t="s">
        <v>139</v>
      </c>
      <c r="EN1" s="1" t="s">
        <v>140</v>
      </c>
      <c r="EO1" s="1" t="s">
        <v>141</v>
      </c>
      <c r="EP1" s="1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5" t="s">
        <v>147</v>
      </c>
      <c r="EV1" s="2" t="s">
        <v>148</v>
      </c>
      <c r="EW1" s="5" t="s">
        <v>149</v>
      </c>
      <c r="EX1" s="5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1" t="s">
        <v>155</v>
      </c>
      <c r="FD1" s="3" t="s">
        <v>156</v>
      </c>
      <c r="FE1" s="3" t="s">
        <v>157</v>
      </c>
      <c r="FF1" s="3" t="s">
        <v>158</v>
      </c>
      <c r="FG1" s="3" t="s">
        <v>159</v>
      </c>
      <c r="FH1" s="1" t="s">
        <v>160</v>
      </c>
      <c r="FI1" s="3" t="s">
        <v>161</v>
      </c>
      <c r="FJ1" s="1" t="s">
        <v>162</v>
      </c>
      <c r="FK1" s="5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3" t="s">
        <v>42</v>
      </c>
      <c r="HM1" s="1" t="s">
        <v>215</v>
      </c>
      <c r="HN1" s="3" t="s">
        <v>42</v>
      </c>
      <c r="HO1" s="1" t="s">
        <v>215</v>
      </c>
      <c r="HP1" s="1" t="s">
        <v>42</v>
      </c>
      <c r="HQ1" s="1" t="s">
        <v>215</v>
      </c>
      <c r="HR1" s="1" t="s">
        <v>42</v>
      </c>
      <c r="HS1" s="1" t="s">
        <v>215</v>
      </c>
      <c r="HT1" s="1" t="s">
        <v>42</v>
      </c>
      <c r="HU1" s="1" t="s">
        <v>215</v>
      </c>
      <c r="HV1" s="1" t="s">
        <v>42</v>
      </c>
      <c r="HW1" s="1" t="s">
        <v>215</v>
      </c>
      <c r="HX1" s="1" t="s">
        <v>42</v>
      </c>
      <c r="HY1" s="1" t="s">
        <v>215</v>
      </c>
      <c r="HZ1" s="1" t="s">
        <v>42</v>
      </c>
      <c r="IA1" s="1" t="s">
        <v>216</v>
      </c>
      <c r="IB1" s="3" t="s">
        <v>42</v>
      </c>
      <c r="IC1" s="1" t="s">
        <v>216</v>
      </c>
      <c r="ID1" s="1" t="s">
        <v>42</v>
      </c>
      <c r="IE1" s="1" t="s">
        <v>216</v>
      </c>
      <c r="IF1" s="1" t="s">
        <v>42</v>
      </c>
      <c r="IG1" s="1" t="s">
        <v>216</v>
      </c>
      <c r="IH1" s="1" t="s">
        <v>42</v>
      </c>
      <c r="II1" s="1" t="s">
        <v>216</v>
      </c>
      <c r="IJ1" s="1" t="s">
        <v>42</v>
      </c>
      <c r="IK1" s="12" t="s">
        <v>217</v>
      </c>
      <c r="IL1" s="1"/>
      <c r="IM1" s="1"/>
      <c r="IN1" s="1"/>
      <c r="IO1" s="1"/>
      <c r="IP1" s="1"/>
      <c r="IQ1" s="1"/>
      <c r="IR1" s="1"/>
      <c r="IS1" s="1"/>
      <c r="IT1" s="1"/>
      <c r="IU1" s="1"/>
      <c r="IV1" s="13"/>
    </row>
    <row r="2">
      <c r="A2" s="14" t="s">
        <v>218</v>
      </c>
      <c r="B2" s="15" t="s">
        <v>219</v>
      </c>
      <c r="C2" s="15">
        <v>3250810.0</v>
      </c>
      <c r="D2" s="16">
        <v>23587.0</v>
      </c>
      <c r="E2" s="16">
        <v>44588.0</v>
      </c>
      <c r="F2" s="16">
        <v>44600.0</v>
      </c>
      <c r="G2" s="16">
        <v>44589.0</v>
      </c>
      <c r="H2" s="15">
        <f t="shared" ref="H2:H38" si="1">(G2-D2)/365</f>
        <v>57.53972603</v>
      </c>
      <c r="I2" s="15">
        <v>0.0</v>
      </c>
      <c r="J2" s="15">
        <f t="shared" ref="J2:J37" si="2">F2-E2</f>
        <v>12</v>
      </c>
      <c r="K2" s="15">
        <v>0.0</v>
      </c>
      <c r="L2" s="15">
        <v>74.0</v>
      </c>
      <c r="M2" s="15">
        <v>1.78</v>
      </c>
      <c r="N2" s="17">
        <f t="shared" ref="N2:N38" si="3">L2/(M2*M2)</f>
        <v>23.35563691</v>
      </c>
      <c r="O2" s="15">
        <v>2.0</v>
      </c>
      <c r="P2" s="15" t="s">
        <v>220</v>
      </c>
      <c r="Q2" s="15">
        <v>0.0</v>
      </c>
      <c r="R2" s="15">
        <v>0.0</v>
      </c>
      <c r="S2" s="15" t="s">
        <v>221</v>
      </c>
      <c r="T2" s="15">
        <v>0.0</v>
      </c>
      <c r="U2" s="15">
        <v>0.0</v>
      </c>
      <c r="V2" s="15">
        <v>0.0</v>
      </c>
      <c r="W2" s="15">
        <v>1.0</v>
      </c>
      <c r="X2" s="18">
        <v>0.5861111111111111</v>
      </c>
      <c r="Y2" s="18">
        <v>0.75</v>
      </c>
      <c r="Z2" s="19">
        <f t="shared" ref="Z2:Z38" si="4">Y2-X2</f>
        <v>0.1638888889</v>
      </c>
      <c r="AA2" s="18">
        <f t="shared" ref="AA2:AA38" si="5">Z2*1440</f>
        <v>236</v>
      </c>
      <c r="AB2" s="15">
        <v>2.0</v>
      </c>
      <c r="AC2" s="15">
        <v>0.0</v>
      </c>
      <c r="AD2" s="15" t="s">
        <v>222</v>
      </c>
      <c r="AE2" s="15" t="s">
        <v>222</v>
      </c>
      <c r="AF2" s="15">
        <v>0.0</v>
      </c>
      <c r="AG2" s="15" t="s">
        <v>223</v>
      </c>
      <c r="AH2" s="15" t="s">
        <v>222</v>
      </c>
      <c r="AI2" s="15">
        <v>0.0</v>
      </c>
      <c r="AJ2" s="15">
        <v>1.0</v>
      </c>
      <c r="AK2" s="15">
        <v>0.0</v>
      </c>
      <c r="AL2" s="15" t="s">
        <v>222</v>
      </c>
      <c r="AM2" s="15" t="s">
        <v>222</v>
      </c>
      <c r="AN2" s="15" t="s">
        <v>222</v>
      </c>
      <c r="AO2" s="15">
        <v>0.0</v>
      </c>
      <c r="AP2" s="15" t="s">
        <v>222</v>
      </c>
      <c r="AQ2" s="15" t="s">
        <v>222</v>
      </c>
      <c r="AR2" s="15" t="s">
        <v>222</v>
      </c>
      <c r="AS2" s="15">
        <v>0.0</v>
      </c>
      <c r="AT2" s="15" t="s">
        <v>222</v>
      </c>
      <c r="AU2" s="15" t="s">
        <v>222</v>
      </c>
      <c r="AV2" s="15" t="s">
        <v>222</v>
      </c>
      <c r="AW2" s="15" t="s">
        <v>224</v>
      </c>
      <c r="AX2" s="15" t="s">
        <v>225</v>
      </c>
      <c r="AY2" s="15">
        <v>0.0</v>
      </c>
      <c r="AZ2" s="15">
        <v>1.0</v>
      </c>
      <c r="BA2" s="15">
        <v>2.0</v>
      </c>
      <c r="BB2" s="15" t="s">
        <v>226</v>
      </c>
      <c r="BC2" s="15" t="s">
        <v>227</v>
      </c>
      <c r="BD2" s="15" t="s">
        <v>228</v>
      </c>
      <c r="BE2" s="15">
        <v>0.0</v>
      </c>
      <c r="BF2" s="15">
        <v>2.5</v>
      </c>
      <c r="BG2" s="15">
        <v>3.0</v>
      </c>
      <c r="BH2" s="15">
        <v>1.0</v>
      </c>
      <c r="BI2" s="15">
        <v>0.0</v>
      </c>
      <c r="BJ2" s="15" t="s">
        <v>222</v>
      </c>
      <c r="BK2" s="15" t="s">
        <v>229</v>
      </c>
      <c r="BL2" s="15">
        <v>0.0</v>
      </c>
      <c r="BM2" s="15" t="s">
        <v>222</v>
      </c>
      <c r="BN2" s="15">
        <v>0.0</v>
      </c>
      <c r="BO2" s="15" t="s">
        <v>222</v>
      </c>
      <c r="BP2" s="15" t="s">
        <v>222</v>
      </c>
      <c r="BQ2" s="15" t="s">
        <v>222</v>
      </c>
      <c r="BR2" s="15" t="s">
        <v>222</v>
      </c>
      <c r="BS2" s="15">
        <v>0.0</v>
      </c>
      <c r="BT2" s="15" t="s">
        <v>222</v>
      </c>
      <c r="BU2" s="15" t="s">
        <v>222</v>
      </c>
      <c r="BV2" s="15" t="s">
        <v>222</v>
      </c>
      <c r="BW2" s="15">
        <v>1.0</v>
      </c>
      <c r="BX2" s="15">
        <v>4.0</v>
      </c>
      <c r="BY2" s="15">
        <v>18.0</v>
      </c>
      <c r="BZ2" s="15">
        <f t="shared" ref="BZ2:BZ37" si="6">BX2/BY2</f>
        <v>0.2222222222</v>
      </c>
      <c r="CA2" s="15">
        <v>1.0</v>
      </c>
      <c r="CB2" s="15">
        <v>1.0</v>
      </c>
      <c r="CC2" s="15">
        <v>1.0</v>
      </c>
      <c r="CD2" s="15" t="s">
        <v>223</v>
      </c>
      <c r="CE2" s="15">
        <v>1.0</v>
      </c>
      <c r="CF2" s="15" t="s">
        <v>230</v>
      </c>
      <c r="CG2" s="15">
        <v>33.0</v>
      </c>
      <c r="CH2" s="15">
        <v>14.6</v>
      </c>
      <c r="CI2" s="15" t="s">
        <v>231</v>
      </c>
      <c r="CJ2" s="15" t="s">
        <v>232</v>
      </c>
      <c r="CK2" s="15" t="s">
        <v>233</v>
      </c>
      <c r="CL2" s="15" t="s">
        <v>234</v>
      </c>
      <c r="CM2" s="16">
        <v>44592.0</v>
      </c>
      <c r="CN2" s="15">
        <f>CM2-G2</f>
        <v>3</v>
      </c>
      <c r="CO2" s="15">
        <v>13.2</v>
      </c>
      <c r="CP2" s="15">
        <v>500.0</v>
      </c>
      <c r="CQ2" s="15">
        <v>0.0</v>
      </c>
      <c r="CR2" s="15">
        <v>0.0</v>
      </c>
      <c r="CS2" s="15">
        <v>0.0</v>
      </c>
      <c r="CT2" s="15">
        <v>0.0</v>
      </c>
      <c r="CU2" s="15">
        <v>0.0</v>
      </c>
      <c r="CV2" s="15" t="s">
        <v>235</v>
      </c>
      <c r="CW2" s="16">
        <v>44592.0</v>
      </c>
      <c r="CX2" s="15">
        <v>120.0</v>
      </c>
      <c r="CY2" s="15">
        <f t="shared" ref="CY2:CY18" si="7">CZ2/60</f>
        <v>2.4</v>
      </c>
      <c r="CZ2" s="15">
        <v>144.0</v>
      </c>
      <c r="DA2" s="15">
        <f t="shared" ref="DA2:DA18" si="8">DB2/60</f>
        <v>1.025</v>
      </c>
      <c r="DB2" s="15">
        <v>61.5</v>
      </c>
      <c r="DC2" s="15">
        <v>0.0</v>
      </c>
      <c r="DD2" s="15">
        <v>0.0</v>
      </c>
      <c r="DE2" s="16">
        <v>44594.0</v>
      </c>
      <c r="DF2" s="15">
        <v>200.0</v>
      </c>
      <c r="DG2" s="15">
        <f t="shared" ref="DG2:DG18" si="9">DH2/60</f>
        <v>0.6316666667</v>
      </c>
      <c r="DH2" s="15">
        <v>37.9</v>
      </c>
      <c r="DI2" s="15">
        <f t="shared" ref="DI2:DI8" si="10">DJ2/60</f>
        <v>0.3016666667</v>
      </c>
      <c r="DJ2" s="15">
        <v>18.1</v>
      </c>
      <c r="DK2" s="15">
        <v>0.0</v>
      </c>
      <c r="DL2" s="15" t="s">
        <v>222</v>
      </c>
      <c r="DM2" s="15">
        <v>0.0</v>
      </c>
      <c r="DN2" s="15">
        <v>0.0</v>
      </c>
      <c r="DO2" s="15">
        <v>0.0</v>
      </c>
      <c r="DP2" s="15">
        <v>0.0</v>
      </c>
      <c r="DQ2" s="15">
        <v>0.0</v>
      </c>
      <c r="DR2" s="15">
        <v>0.0</v>
      </c>
      <c r="DS2" s="15" t="s">
        <v>222</v>
      </c>
      <c r="DT2" s="15">
        <v>0.0</v>
      </c>
      <c r="DU2" s="15" t="s">
        <v>222</v>
      </c>
      <c r="DV2" s="15">
        <v>0.0</v>
      </c>
      <c r="DW2" s="15" t="s">
        <v>222</v>
      </c>
      <c r="DX2" s="15">
        <v>0.0</v>
      </c>
      <c r="DY2" s="15" t="s">
        <v>222</v>
      </c>
      <c r="DZ2" s="15">
        <v>0.0</v>
      </c>
      <c r="EA2" s="15">
        <v>0.0</v>
      </c>
      <c r="EB2" s="15">
        <v>0.0</v>
      </c>
      <c r="EC2" s="15">
        <v>0.0</v>
      </c>
      <c r="ED2" s="15">
        <v>0.0</v>
      </c>
      <c r="EE2" s="15" t="s">
        <v>222</v>
      </c>
      <c r="EF2" s="15" t="s">
        <v>222</v>
      </c>
      <c r="EG2" s="15">
        <v>0.0</v>
      </c>
      <c r="EH2" s="15" t="s">
        <v>222</v>
      </c>
      <c r="EI2" s="15">
        <v>0.0</v>
      </c>
      <c r="EJ2" s="15" t="s">
        <v>222</v>
      </c>
      <c r="EK2" s="15" t="s">
        <v>222</v>
      </c>
      <c r="EL2" s="15" t="s">
        <v>222</v>
      </c>
      <c r="EM2" s="15" t="s">
        <v>222</v>
      </c>
      <c r="EN2" s="15">
        <v>0.0</v>
      </c>
      <c r="EO2" s="15" t="s">
        <v>222</v>
      </c>
      <c r="EP2" s="15" t="s">
        <v>222</v>
      </c>
      <c r="EQ2" s="15" t="s">
        <v>222</v>
      </c>
      <c r="ER2" s="16">
        <v>44592.0</v>
      </c>
      <c r="ES2" s="16">
        <v>44622.0</v>
      </c>
      <c r="ET2" s="15">
        <f t="shared" ref="ET2:ET37" si="11">ER2-G2</f>
        <v>3</v>
      </c>
      <c r="EU2" s="15">
        <f t="shared" ref="EU2:EU31" si="12">ES2-ER2</f>
        <v>30</v>
      </c>
      <c r="EV2" s="16">
        <v>44592.0</v>
      </c>
      <c r="EW2" s="15">
        <f t="shared" ref="EW2:EW37" si="13">EV2-G2</f>
        <v>3</v>
      </c>
      <c r="EX2" s="15">
        <v>0.0</v>
      </c>
      <c r="EY2" s="15"/>
      <c r="EZ2" s="15">
        <v>0.0</v>
      </c>
      <c r="FA2" s="15">
        <v>1.0</v>
      </c>
      <c r="FB2" s="15" t="s">
        <v>236</v>
      </c>
      <c r="FC2" s="20">
        <v>45374.0</v>
      </c>
      <c r="FD2" s="15" t="s">
        <v>222</v>
      </c>
      <c r="FE2" s="15" t="s">
        <v>222</v>
      </c>
      <c r="FF2" s="16" t="str">
        <f t="shared" ref="FF2:FF29" si="14">FE2-G2</f>
        <v>#VALUE!</v>
      </c>
      <c r="FG2" s="15" t="s">
        <v>222</v>
      </c>
      <c r="FH2" s="15">
        <v>0.0</v>
      </c>
      <c r="FI2" s="15" t="s">
        <v>222</v>
      </c>
      <c r="FJ2" s="15" t="s">
        <v>222</v>
      </c>
      <c r="FK2" s="15">
        <f t="shared" ref="FK2:FK37" si="15">FC2-E2</f>
        <v>786</v>
      </c>
      <c r="FL2" s="15">
        <v>0.0</v>
      </c>
      <c r="FM2" s="15" t="s">
        <v>222</v>
      </c>
      <c r="FN2" s="15" t="s">
        <v>222</v>
      </c>
      <c r="FO2" s="15" t="s">
        <v>222</v>
      </c>
      <c r="FP2" s="15"/>
      <c r="FQ2" s="15" t="s">
        <v>237</v>
      </c>
      <c r="FR2" s="16">
        <v>44623.0</v>
      </c>
      <c r="FS2" s="15">
        <f t="shared" ref="FS2:FS18" si="16">FR2-G2</f>
        <v>34</v>
      </c>
      <c r="FT2" s="15">
        <v>0.0</v>
      </c>
      <c r="FU2" s="15">
        <v>2.0</v>
      </c>
      <c r="FV2" s="15">
        <v>1.0</v>
      </c>
      <c r="FW2" s="15">
        <v>0.0</v>
      </c>
      <c r="FX2" s="15" t="s">
        <v>238</v>
      </c>
      <c r="FY2" s="15">
        <v>21.0</v>
      </c>
      <c r="FZ2" s="15">
        <v>1.15</v>
      </c>
      <c r="GA2" s="15">
        <v>45.6</v>
      </c>
      <c r="GB2" s="15">
        <v>5.2</v>
      </c>
      <c r="GC2" s="15">
        <v>124.0</v>
      </c>
      <c r="GD2" s="15">
        <v>1.5</v>
      </c>
      <c r="GE2" s="15">
        <v>14.2</v>
      </c>
      <c r="GF2" s="15">
        <v>25.0</v>
      </c>
      <c r="GG2" s="15">
        <f t="shared" ref="GG2:GG4" si="17">1-(GF2/GC2)</f>
        <v>0.7983870968</v>
      </c>
      <c r="GH2" s="15">
        <v>68.0</v>
      </c>
      <c r="GI2" s="15">
        <v>0.92</v>
      </c>
      <c r="GJ2" s="15">
        <v>6.2</v>
      </c>
      <c r="GK2" s="15">
        <v>42.7</v>
      </c>
      <c r="GL2" s="15" t="s">
        <v>222</v>
      </c>
      <c r="GM2" s="15">
        <v>25.0</v>
      </c>
      <c r="GN2" s="15" t="s">
        <v>222</v>
      </c>
      <c r="GO2" s="15">
        <v>18.1</v>
      </c>
      <c r="GP2" s="16">
        <v>44623.0</v>
      </c>
      <c r="GQ2" s="15">
        <v>68.0</v>
      </c>
      <c r="GR2" s="15">
        <v>0.92</v>
      </c>
      <c r="GS2" s="15">
        <v>6.2</v>
      </c>
      <c r="GT2" s="15">
        <v>42.7</v>
      </c>
      <c r="GU2" s="15">
        <v>3.1</v>
      </c>
      <c r="GV2" s="15">
        <v>67.0</v>
      </c>
      <c r="GW2" s="15" t="s">
        <v>222</v>
      </c>
      <c r="GX2" s="15" t="s">
        <v>222</v>
      </c>
      <c r="GY2" s="15">
        <v>42.7</v>
      </c>
      <c r="GZ2" s="15" t="s">
        <v>222</v>
      </c>
      <c r="HA2" s="15">
        <v>25.0</v>
      </c>
      <c r="HB2" s="15" t="s">
        <v>222</v>
      </c>
      <c r="HC2" s="15">
        <v>18.1</v>
      </c>
      <c r="HD2" s="15">
        <v>0.0</v>
      </c>
      <c r="HE2" s="15">
        <v>0.0</v>
      </c>
      <c r="HF2" s="15" t="s">
        <v>222</v>
      </c>
      <c r="HG2" s="15" t="s">
        <v>222</v>
      </c>
      <c r="HH2" s="15" t="s">
        <v>222</v>
      </c>
      <c r="HI2" s="15" t="s">
        <v>222</v>
      </c>
      <c r="HJ2" s="15">
        <v>79.1</v>
      </c>
      <c r="HK2" s="15" t="s">
        <v>239</v>
      </c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>
      <c r="A3" s="21" t="s">
        <v>240</v>
      </c>
      <c r="B3" s="22" t="s">
        <v>241</v>
      </c>
      <c r="C3" s="22">
        <v>1.6177745E7</v>
      </c>
      <c r="D3" s="23">
        <v>19849.0</v>
      </c>
      <c r="E3" s="23">
        <v>44663.0</v>
      </c>
      <c r="F3" s="23">
        <v>44698.0</v>
      </c>
      <c r="G3" s="23">
        <v>44664.0</v>
      </c>
      <c r="H3" s="22">
        <f t="shared" si="1"/>
        <v>67.98630137</v>
      </c>
      <c r="I3" s="22">
        <v>0.0</v>
      </c>
      <c r="J3" s="22">
        <f t="shared" si="2"/>
        <v>35</v>
      </c>
      <c r="K3" s="22">
        <v>1.0</v>
      </c>
      <c r="L3" s="22">
        <v>54.0</v>
      </c>
      <c r="M3" s="22">
        <v>1.57</v>
      </c>
      <c r="N3" s="24">
        <f t="shared" si="3"/>
        <v>21.90758246</v>
      </c>
      <c r="O3" s="22">
        <v>2.0</v>
      </c>
      <c r="P3" s="22" t="s">
        <v>242</v>
      </c>
      <c r="Q3" s="22">
        <v>0.0</v>
      </c>
      <c r="R3" s="22">
        <v>1.0</v>
      </c>
      <c r="S3" s="22" t="s">
        <v>243</v>
      </c>
      <c r="T3" s="22">
        <v>0.0</v>
      </c>
      <c r="U3" s="22">
        <v>0.0</v>
      </c>
      <c r="V3" s="22">
        <v>0.0</v>
      </c>
      <c r="W3" s="22">
        <v>1.0</v>
      </c>
      <c r="X3" s="25">
        <v>0.5847222222222223</v>
      </c>
      <c r="Y3" s="25">
        <v>0.7958333333333334</v>
      </c>
      <c r="Z3" s="26">
        <f t="shared" si="4"/>
        <v>0.2111111111</v>
      </c>
      <c r="AA3" s="25">
        <f t="shared" si="5"/>
        <v>304</v>
      </c>
      <c r="AB3" s="22">
        <v>2.0</v>
      </c>
      <c r="AC3" s="22">
        <v>0.0</v>
      </c>
      <c r="AD3" s="22" t="s">
        <v>222</v>
      </c>
      <c r="AE3" s="22" t="s">
        <v>222</v>
      </c>
      <c r="AF3" s="22" t="s">
        <v>244</v>
      </c>
      <c r="AG3" s="22" t="s">
        <v>245</v>
      </c>
      <c r="AH3" s="22" t="s">
        <v>222</v>
      </c>
      <c r="AI3" s="22">
        <v>0.0</v>
      </c>
      <c r="AJ3" s="22">
        <v>1.0</v>
      </c>
      <c r="AK3" s="22">
        <v>0.0</v>
      </c>
      <c r="AL3" s="22" t="s">
        <v>222</v>
      </c>
      <c r="AM3" s="22" t="s">
        <v>222</v>
      </c>
      <c r="AN3" s="22" t="s">
        <v>222</v>
      </c>
      <c r="AO3" s="22">
        <v>1.0</v>
      </c>
      <c r="AP3" s="22" t="s">
        <v>246</v>
      </c>
      <c r="AQ3" s="23">
        <v>44679.0</v>
      </c>
      <c r="AR3" s="22">
        <f t="shared" ref="AR3:AR5" si="18">AQ3-G3</f>
        <v>15</v>
      </c>
      <c r="AS3" s="22">
        <v>0.0</v>
      </c>
      <c r="AT3" s="22" t="s">
        <v>222</v>
      </c>
      <c r="AU3" s="22" t="s">
        <v>222</v>
      </c>
      <c r="AV3" s="22" t="s">
        <v>222</v>
      </c>
      <c r="AW3" s="22" t="s">
        <v>228</v>
      </c>
      <c r="AX3" s="22" t="s">
        <v>225</v>
      </c>
      <c r="AY3" s="22">
        <v>0.0</v>
      </c>
      <c r="AZ3" s="22">
        <v>1.0</v>
      </c>
      <c r="BA3" s="22">
        <v>2.0</v>
      </c>
      <c r="BB3" s="22" t="s">
        <v>247</v>
      </c>
      <c r="BC3" s="22" t="s">
        <v>248</v>
      </c>
      <c r="BD3" s="22" t="s">
        <v>228</v>
      </c>
      <c r="BE3" s="22" t="s">
        <v>222</v>
      </c>
      <c r="BF3" s="22">
        <v>1.7</v>
      </c>
      <c r="BG3" s="22" t="s">
        <v>249</v>
      </c>
      <c r="BH3" s="22">
        <v>1.0</v>
      </c>
      <c r="BI3" s="22">
        <v>0.0</v>
      </c>
      <c r="BJ3" s="22" t="s">
        <v>222</v>
      </c>
      <c r="BK3" s="22" t="s">
        <v>229</v>
      </c>
      <c r="BL3" s="22">
        <v>0.0</v>
      </c>
      <c r="BM3" s="22" t="s">
        <v>222</v>
      </c>
      <c r="BN3" s="22">
        <v>1.0</v>
      </c>
      <c r="BO3" s="22">
        <v>3.0</v>
      </c>
      <c r="BP3" s="22" t="s">
        <v>222</v>
      </c>
      <c r="BQ3" s="22">
        <v>1.0</v>
      </c>
      <c r="BR3" s="22" t="s">
        <v>222</v>
      </c>
      <c r="BS3" s="22">
        <v>0.0</v>
      </c>
      <c r="BT3" s="22" t="s">
        <v>222</v>
      </c>
      <c r="BU3" s="22" t="s">
        <v>222</v>
      </c>
      <c r="BV3" s="22" t="s">
        <v>222</v>
      </c>
      <c r="BW3" s="22">
        <v>1.0</v>
      </c>
      <c r="BX3" s="22">
        <v>1.0</v>
      </c>
      <c r="BY3" s="22">
        <v>41.0</v>
      </c>
      <c r="BZ3" s="22">
        <f t="shared" si="6"/>
        <v>0.0243902439</v>
      </c>
      <c r="CA3" s="22">
        <v>1.0</v>
      </c>
      <c r="CB3" s="22">
        <v>0.0</v>
      </c>
      <c r="CC3" s="22">
        <v>1.0</v>
      </c>
      <c r="CD3" s="22" t="s">
        <v>245</v>
      </c>
      <c r="CE3" s="22">
        <v>1.0</v>
      </c>
      <c r="CF3" s="22" t="s">
        <v>245</v>
      </c>
      <c r="CG3" s="22">
        <v>1.9</v>
      </c>
      <c r="CH3" s="22">
        <v>12.4</v>
      </c>
      <c r="CI3" s="22" t="s">
        <v>250</v>
      </c>
      <c r="CJ3" s="22"/>
      <c r="CK3" s="22" t="s">
        <v>251</v>
      </c>
      <c r="CL3" s="22" t="s">
        <v>222</v>
      </c>
      <c r="CM3" s="22" t="s">
        <v>222</v>
      </c>
      <c r="CN3" s="22" t="s">
        <v>222</v>
      </c>
      <c r="CO3" s="22">
        <v>10.5</v>
      </c>
      <c r="CP3" s="22">
        <v>150.0</v>
      </c>
      <c r="CQ3" s="22">
        <v>0.0</v>
      </c>
      <c r="CR3" s="22">
        <v>0.0</v>
      </c>
      <c r="CS3" s="22">
        <v>0.0</v>
      </c>
      <c r="CT3" s="22">
        <v>0.0</v>
      </c>
      <c r="CU3" s="22">
        <v>0.0</v>
      </c>
      <c r="CV3" s="22" t="s">
        <v>252</v>
      </c>
      <c r="CW3" s="23">
        <v>44667.0</v>
      </c>
      <c r="CX3" s="22">
        <v>600.0</v>
      </c>
      <c r="CY3" s="22">
        <f t="shared" si="7"/>
        <v>0.1883333333</v>
      </c>
      <c r="CZ3" s="22">
        <v>11.3</v>
      </c>
      <c r="DA3" s="22">
        <f t="shared" si="8"/>
        <v>0.38</v>
      </c>
      <c r="DB3" s="22">
        <v>22.8</v>
      </c>
      <c r="DC3" s="22">
        <v>0.0</v>
      </c>
      <c r="DD3" s="22">
        <v>0.0</v>
      </c>
      <c r="DE3" s="23">
        <v>44669.0</v>
      </c>
      <c r="DF3" s="22">
        <v>1000.0</v>
      </c>
      <c r="DG3" s="22">
        <f t="shared" si="9"/>
        <v>0.1516666667</v>
      </c>
      <c r="DH3" s="22">
        <v>9.1</v>
      </c>
      <c r="DI3" s="22">
        <f t="shared" si="10"/>
        <v>0.3666666667</v>
      </c>
      <c r="DJ3" s="22">
        <v>22.0</v>
      </c>
      <c r="DK3" s="22">
        <v>0.0</v>
      </c>
      <c r="DL3" s="22">
        <v>0.0</v>
      </c>
      <c r="DM3" s="22">
        <v>1.0</v>
      </c>
      <c r="DN3" s="22">
        <v>0.0</v>
      </c>
      <c r="DO3" s="22">
        <v>0.0</v>
      </c>
      <c r="DP3" s="22">
        <v>0.0</v>
      </c>
      <c r="DQ3" s="22">
        <v>0.0</v>
      </c>
      <c r="DR3" s="22">
        <v>1.0</v>
      </c>
      <c r="DS3" s="22" t="s">
        <v>253</v>
      </c>
      <c r="DT3" s="22">
        <v>1.0</v>
      </c>
      <c r="DU3" s="22" t="s">
        <v>254</v>
      </c>
      <c r="DV3" s="22">
        <v>0.0</v>
      </c>
      <c r="DW3" s="22" t="s">
        <v>222</v>
      </c>
      <c r="DX3" s="22">
        <v>0.0</v>
      </c>
      <c r="DY3" s="22" t="s">
        <v>222</v>
      </c>
      <c r="DZ3" s="22">
        <v>0.0</v>
      </c>
      <c r="EA3" s="22">
        <v>0.0</v>
      </c>
      <c r="EB3" s="22">
        <v>0.0</v>
      </c>
      <c r="EC3" s="22">
        <v>0.0</v>
      </c>
      <c r="ED3" s="22">
        <v>0.0</v>
      </c>
      <c r="EE3" s="22" t="s">
        <v>255</v>
      </c>
      <c r="EF3" s="23">
        <v>44690.0</v>
      </c>
      <c r="EG3" s="22">
        <v>0.0</v>
      </c>
      <c r="EH3" s="22">
        <f>EF3-G3</f>
        <v>26</v>
      </c>
      <c r="EI3" s="22">
        <v>0.0</v>
      </c>
      <c r="EJ3" s="22" t="s">
        <v>222</v>
      </c>
      <c r="EK3" s="22" t="s">
        <v>222</v>
      </c>
      <c r="EL3" s="22" t="s">
        <v>222</v>
      </c>
      <c r="EM3" s="22" t="s">
        <v>222</v>
      </c>
      <c r="EN3" s="22">
        <v>0.0</v>
      </c>
      <c r="EO3" s="22" t="s">
        <v>222</v>
      </c>
      <c r="EP3" s="22" t="s">
        <v>222</v>
      </c>
      <c r="EQ3" s="22" t="s">
        <v>222</v>
      </c>
      <c r="ER3" s="23">
        <v>44668.0</v>
      </c>
      <c r="ES3" s="23">
        <v>44816.0</v>
      </c>
      <c r="ET3" s="22">
        <f t="shared" si="11"/>
        <v>4</v>
      </c>
      <c r="EU3" s="22">
        <f t="shared" si="12"/>
        <v>148</v>
      </c>
      <c r="EV3" s="23">
        <v>44670.0</v>
      </c>
      <c r="EW3" s="22">
        <f t="shared" si="13"/>
        <v>6</v>
      </c>
      <c r="EX3" s="22">
        <v>0.0</v>
      </c>
      <c r="EY3" s="22">
        <v>0.0</v>
      </c>
      <c r="EZ3" s="22">
        <v>0.0</v>
      </c>
      <c r="FA3" s="22">
        <v>1.0</v>
      </c>
      <c r="FB3" s="22" t="s">
        <v>236</v>
      </c>
      <c r="FC3" s="23">
        <v>45588.0</v>
      </c>
      <c r="FD3" s="22">
        <v>3.0</v>
      </c>
      <c r="FE3" s="23">
        <v>44938.0</v>
      </c>
      <c r="FF3" s="22">
        <f t="shared" si="14"/>
        <v>274</v>
      </c>
      <c r="FG3" s="22" t="s">
        <v>256</v>
      </c>
      <c r="FH3" s="22">
        <v>0.0</v>
      </c>
      <c r="FI3" s="22" t="s">
        <v>222</v>
      </c>
      <c r="FJ3" s="22" t="s">
        <v>222</v>
      </c>
      <c r="FK3" s="22">
        <f t="shared" si="15"/>
        <v>925</v>
      </c>
      <c r="FL3" s="22">
        <v>1.0</v>
      </c>
      <c r="FM3" s="22" t="s">
        <v>257</v>
      </c>
      <c r="FN3" s="23">
        <v>44682.0</v>
      </c>
      <c r="FO3" s="22">
        <f t="shared" ref="FO3:FO5" si="19">FN3-G3</f>
        <v>18</v>
      </c>
      <c r="FP3" s="22">
        <v>1.0</v>
      </c>
      <c r="FQ3" s="22" t="s">
        <v>258</v>
      </c>
      <c r="FR3" s="23">
        <v>44672.0</v>
      </c>
      <c r="FS3" s="22">
        <f t="shared" si="16"/>
        <v>8</v>
      </c>
      <c r="FT3" s="22">
        <v>0.0</v>
      </c>
      <c r="FU3" s="22">
        <v>10.0</v>
      </c>
      <c r="FV3" s="22">
        <v>2.0</v>
      </c>
      <c r="FW3" s="22">
        <v>0.0</v>
      </c>
      <c r="FX3" s="22" t="s">
        <v>259</v>
      </c>
      <c r="FY3" s="22">
        <v>18.0</v>
      </c>
      <c r="FZ3" s="22" t="s">
        <v>222</v>
      </c>
      <c r="GA3" s="22">
        <v>44.0</v>
      </c>
      <c r="GB3" s="22">
        <v>5.6</v>
      </c>
      <c r="GC3" s="22">
        <v>59.0</v>
      </c>
      <c r="GD3" s="22">
        <v>10.0</v>
      </c>
      <c r="GE3" s="22">
        <v>10.0</v>
      </c>
      <c r="GF3" s="22">
        <v>16.5</v>
      </c>
      <c r="GG3" s="22">
        <f t="shared" si="17"/>
        <v>0.7203389831</v>
      </c>
      <c r="GH3" s="22"/>
      <c r="GI3" s="22">
        <v>1.3</v>
      </c>
      <c r="GJ3" s="22" t="s">
        <v>222</v>
      </c>
      <c r="GK3" s="22">
        <v>23.0</v>
      </c>
      <c r="GL3" s="22" t="s">
        <v>222</v>
      </c>
      <c r="GM3" s="22">
        <v>16.5</v>
      </c>
      <c r="GN3" s="22">
        <v>3.2</v>
      </c>
      <c r="GO3" s="22">
        <v>17.6</v>
      </c>
      <c r="GP3" s="23">
        <v>44666.0</v>
      </c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>
        <v>33.8</v>
      </c>
      <c r="HG3" s="22">
        <v>62.1</v>
      </c>
      <c r="HH3" s="22">
        <v>39.7</v>
      </c>
      <c r="HI3" s="22" t="s">
        <v>222</v>
      </c>
      <c r="HJ3" s="22" t="s">
        <v>222</v>
      </c>
      <c r="HK3" s="22" t="s">
        <v>260</v>
      </c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</row>
    <row r="4">
      <c r="A4" s="14" t="s">
        <v>218</v>
      </c>
      <c r="B4" s="15" t="s">
        <v>261</v>
      </c>
      <c r="C4" s="15">
        <v>2.9439844E7</v>
      </c>
      <c r="D4" s="16">
        <v>23000.0</v>
      </c>
      <c r="E4" s="16">
        <v>44676.0</v>
      </c>
      <c r="F4" s="16">
        <v>44693.0</v>
      </c>
      <c r="G4" s="16">
        <v>44677.0</v>
      </c>
      <c r="H4" s="15">
        <f t="shared" si="1"/>
        <v>59.3890411</v>
      </c>
      <c r="I4" s="15">
        <v>0.0</v>
      </c>
      <c r="J4" s="15">
        <f t="shared" si="2"/>
        <v>17</v>
      </c>
      <c r="K4" s="15">
        <v>1.0</v>
      </c>
      <c r="L4" s="15">
        <v>56.0</v>
      </c>
      <c r="M4" s="15">
        <v>1.59</v>
      </c>
      <c r="N4" s="17">
        <f t="shared" si="3"/>
        <v>22.15102251</v>
      </c>
      <c r="O4" s="15">
        <v>1.0</v>
      </c>
      <c r="P4" s="15" t="s">
        <v>262</v>
      </c>
      <c r="Q4" s="15">
        <v>0.0</v>
      </c>
      <c r="R4" s="15">
        <v>0.0</v>
      </c>
      <c r="S4" s="15" t="s">
        <v>263</v>
      </c>
      <c r="T4" s="15">
        <v>0.0</v>
      </c>
      <c r="U4" s="15">
        <v>0.0</v>
      </c>
      <c r="V4" s="15">
        <v>0.0</v>
      </c>
      <c r="W4" s="15">
        <v>1.0</v>
      </c>
      <c r="X4" s="18">
        <v>0.41041666666666665</v>
      </c>
      <c r="Y4" s="18">
        <v>0.6041666666666666</v>
      </c>
      <c r="Z4" s="19">
        <f t="shared" si="4"/>
        <v>0.19375</v>
      </c>
      <c r="AA4" s="18">
        <f t="shared" si="5"/>
        <v>279</v>
      </c>
      <c r="AB4" s="15">
        <v>2.0</v>
      </c>
      <c r="AC4" s="15">
        <v>0.0</v>
      </c>
      <c r="AD4" s="15" t="s">
        <v>222</v>
      </c>
      <c r="AE4" s="15" t="s">
        <v>222</v>
      </c>
      <c r="AF4" s="15" t="s">
        <v>264</v>
      </c>
      <c r="AG4" s="15" t="s">
        <v>265</v>
      </c>
      <c r="AH4" s="15">
        <v>15.1</v>
      </c>
      <c r="AI4" s="15">
        <v>0.0</v>
      </c>
      <c r="AJ4" s="15">
        <v>1.0</v>
      </c>
      <c r="AK4" s="15">
        <v>0.0</v>
      </c>
      <c r="AL4" s="15" t="s">
        <v>222</v>
      </c>
      <c r="AM4" s="15" t="s">
        <v>222</v>
      </c>
      <c r="AN4" s="15" t="s">
        <v>222</v>
      </c>
      <c r="AO4" s="15">
        <v>0.0</v>
      </c>
      <c r="AP4" s="15" t="s">
        <v>222</v>
      </c>
      <c r="AQ4" s="15" t="s">
        <v>222</v>
      </c>
      <c r="AR4" s="16" t="str">
        <f t="shared" si="18"/>
        <v>#VALUE!</v>
      </c>
      <c r="AS4" s="15">
        <v>0.0</v>
      </c>
      <c r="AT4" s="15" t="s">
        <v>222</v>
      </c>
      <c r="AU4" s="15" t="s">
        <v>222</v>
      </c>
      <c r="AV4" s="15" t="s">
        <v>222</v>
      </c>
      <c r="AW4" s="15" t="s">
        <v>228</v>
      </c>
      <c r="AX4" s="15" t="s">
        <v>225</v>
      </c>
      <c r="AY4" s="15">
        <v>0.0</v>
      </c>
      <c r="AZ4" s="15">
        <v>1.0</v>
      </c>
      <c r="BA4" s="15">
        <v>2.0</v>
      </c>
      <c r="BB4" s="15" t="s">
        <v>266</v>
      </c>
      <c r="BC4" s="15" t="s">
        <v>267</v>
      </c>
      <c r="BD4" s="15" t="s">
        <v>228</v>
      </c>
      <c r="BE4" s="15">
        <v>1.0</v>
      </c>
      <c r="BF4" s="15">
        <v>3.0</v>
      </c>
      <c r="BG4" s="15">
        <v>2.0</v>
      </c>
      <c r="BH4" s="15">
        <v>1.0</v>
      </c>
      <c r="BI4" s="15">
        <v>1.0</v>
      </c>
      <c r="BJ4" s="15" t="s">
        <v>268</v>
      </c>
      <c r="BK4" s="15">
        <v>4.0</v>
      </c>
      <c r="BL4" s="15">
        <v>0.0</v>
      </c>
      <c r="BM4" s="15" t="s">
        <v>222</v>
      </c>
      <c r="BN4" s="15">
        <v>1.0</v>
      </c>
      <c r="BO4" s="15">
        <v>2.0</v>
      </c>
      <c r="BP4" s="15" t="s">
        <v>222</v>
      </c>
      <c r="BQ4" s="15" t="s">
        <v>222</v>
      </c>
      <c r="BR4" s="15" t="s">
        <v>222</v>
      </c>
      <c r="BS4" s="15">
        <v>0.0</v>
      </c>
      <c r="BT4" s="15" t="s">
        <v>222</v>
      </c>
      <c r="BU4" s="15" t="s">
        <v>222</v>
      </c>
      <c r="BV4" s="15" t="s">
        <v>222</v>
      </c>
      <c r="BW4" s="15">
        <v>1.0</v>
      </c>
      <c r="BX4" s="15">
        <v>3.0</v>
      </c>
      <c r="BY4" s="15">
        <v>32.0</v>
      </c>
      <c r="BZ4" s="15">
        <f t="shared" si="6"/>
        <v>0.09375</v>
      </c>
      <c r="CA4" s="15">
        <v>1.0</v>
      </c>
      <c r="CB4" s="15">
        <v>1.0</v>
      </c>
      <c r="CC4" s="15">
        <v>1.0</v>
      </c>
      <c r="CD4" s="15" t="s">
        <v>265</v>
      </c>
      <c r="CE4" s="15">
        <v>1.0</v>
      </c>
      <c r="CF4" s="15" t="s">
        <v>265</v>
      </c>
      <c r="CG4" s="15" t="s">
        <v>222</v>
      </c>
      <c r="CH4" s="15">
        <v>14.4</v>
      </c>
      <c r="CI4" s="15" t="s">
        <v>269</v>
      </c>
      <c r="CJ4" s="15"/>
      <c r="CK4" s="15">
        <v>1.0</v>
      </c>
      <c r="CL4" s="15" t="s">
        <v>222</v>
      </c>
      <c r="CM4" s="15" t="s">
        <v>222</v>
      </c>
      <c r="CN4" s="15" t="s">
        <v>222</v>
      </c>
      <c r="CO4" s="15">
        <v>14.3</v>
      </c>
      <c r="CP4" s="15">
        <v>100.0</v>
      </c>
      <c r="CQ4" s="15">
        <v>0.0</v>
      </c>
      <c r="CR4" s="15">
        <v>0.0</v>
      </c>
      <c r="CS4" s="15">
        <v>0.0</v>
      </c>
      <c r="CT4" s="15">
        <v>0.0</v>
      </c>
      <c r="CU4" s="15">
        <v>0.0</v>
      </c>
      <c r="CV4" s="15" t="s">
        <v>235</v>
      </c>
      <c r="CW4" s="16">
        <v>44680.0</v>
      </c>
      <c r="CX4" s="15">
        <v>50.0</v>
      </c>
      <c r="CY4" s="15">
        <f t="shared" si="7"/>
        <v>3.05</v>
      </c>
      <c r="CZ4" s="15">
        <v>183.0</v>
      </c>
      <c r="DA4" s="15">
        <f t="shared" si="8"/>
        <v>1.638333333</v>
      </c>
      <c r="DB4" s="15">
        <v>98.3</v>
      </c>
      <c r="DC4" s="15">
        <v>0.0</v>
      </c>
      <c r="DD4" s="15">
        <v>0.0</v>
      </c>
      <c r="DE4" s="16">
        <v>44683.0</v>
      </c>
      <c r="DF4" s="15">
        <v>100.0</v>
      </c>
      <c r="DG4" s="15">
        <f t="shared" si="9"/>
        <v>57.38333333</v>
      </c>
      <c r="DH4" s="15">
        <v>3443.0</v>
      </c>
      <c r="DI4" s="15">
        <f t="shared" si="10"/>
        <v>0.5866666667</v>
      </c>
      <c r="DJ4" s="15">
        <v>35.2</v>
      </c>
      <c r="DK4" s="15">
        <v>1.0</v>
      </c>
      <c r="DL4" s="15">
        <v>0.0</v>
      </c>
      <c r="DM4" s="15">
        <v>0.0</v>
      </c>
      <c r="DN4" s="15">
        <v>0.0</v>
      </c>
      <c r="DO4" s="15">
        <v>1.0</v>
      </c>
      <c r="DP4" s="15">
        <v>1.0</v>
      </c>
      <c r="DQ4" s="15">
        <v>0.0</v>
      </c>
      <c r="DR4" s="15">
        <v>0.0</v>
      </c>
      <c r="DS4" s="15" t="s">
        <v>222</v>
      </c>
      <c r="DT4" s="15">
        <v>0.0</v>
      </c>
      <c r="DU4" s="15" t="s">
        <v>222</v>
      </c>
      <c r="DV4" s="15">
        <v>0.0</v>
      </c>
      <c r="DW4" s="15" t="s">
        <v>222</v>
      </c>
      <c r="DX4" s="15">
        <v>0.0</v>
      </c>
      <c r="DY4" s="15" t="s">
        <v>222</v>
      </c>
      <c r="DZ4" s="15">
        <v>0.0</v>
      </c>
      <c r="EA4" s="15">
        <v>0.0</v>
      </c>
      <c r="EB4" s="15">
        <v>0.0</v>
      </c>
      <c r="EC4" s="15">
        <v>0.0</v>
      </c>
      <c r="ED4" s="15">
        <v>0.0</v>
      </c>
      <c r="EE4" s="15" t="s">
        <v>222</v>
      </c>
      <c r="EF4" s="15" t="s">
        <v>222</v>
      </c>
      <c r="EG4" s="15">
        <v>0.0</v>
      </c>
      <c r="EH4" s="15" t="s">
        <v>222</v>
      </c>
      <c r="EI4" s="15">
        <v>0.0</v>
      </c>
      <c r="EJ4" s="15" t="s">
        <v>222</v>
      </c>
      <c r="EK4" s="15" t="s">
        <v>222</v>
      </c>
      <c r="EL4" s="15" t="s">
        <v>222</v>
      </c>
      <c r="EM4" s="15" t="s">
        <v>222</v>
      </c>
      <c r="EN4" s="15">
        <v>0.0</v>
      </c>
      <c r="EO4" s="15" t="s">
        <v>222</v>
      </c>
      <c r="EP4" s="15" t="s">
        <v>222</v>
      </c>
      <c r="EQ4" s="15" t="s">
        <v>222</v>
      </c>
      <c r="ER4" s="16">
        <v>44684.0</v>
      </c>
      <c r="ES4" s="16">
        <v>44830.0</v>
      </c>
      <c r="ET4" s="15">
        <f t="shared" si="11"/>
        <v>7</v>
      </c>
      <c r="EU4" s="15">
        <f t="shared" si="12"/>
        <v>146</v>
      </c>
      <c r="EV4" s="16">
        <v>44684.0</v>
      </c>
      <c r="EW4" s="15">
        <f t="shared" si="13"/>
        <v>7</v>
      </c>
      <c r="EX4" s="15">
        <v>0.0</v>
      </c>
      <c r="EY4" s="15">
        <v>0.0</v>
      </c>
      <c r="EZ4" s="15">
        <v>0.0</v>
      </c>
      <c r="FA4" s="15">
        <v>1.0</v>
      </c>
      <c r="FB4" s="15" t="s">
        <v>236</v>
      </c>
      <c r="FC4" s="20">
        <v>44935.0</v>
      </c>
      <c r="FD4" s="15" t="s">
        <v>270</v>
      </c>
      <c r="FE4" s="16">
        <v>44911.0</v>
      </c>
      <c r="FF4" s="15">
        <f t="shared" si="14"/>
        <v>234</v>
      </c>
      <c r="FG4" s="15">
        <v>0.0</v>
      </c>
      <c r="FH4" s="15">
        <v>1.0</v>
      </c>
      <c r="FI4" s="16">
        <v>44939.0</v>
      </c>
      <c r="FJ4" s="15" t="s">
        <v>271</v>
      </c>
      <c r="FK4" s="15">
        <f t="shared" si="15"/>
        <v>259</v>
      </c>
      <c r="FL4" s="15">
        <v>0.0</v>
      </c>
      <c r="FM4" s="15" t="s">
        <v>222</v>
      </c>
      <c r="FN4" s="15" t="s">
        <v>222</v>
      </c>
      <c r="FO4" s="16" t="str">
        <f t="shared" si="19"/>
        <v>#VALUE!</v>
      </c>
      <c r="FP4" s="15">
        <v>1.0</v>
      </c>
      <c r="FQ4" s="16" t="s">
        <v>258</v>
      </c>
      <c r="FR4" s="16">
        <v>44686.0</v>
      </c>
      <c r="FS4" s="15">
        <f t="shared" si="16"/>
        <v>9</v>
      </c>
      <c r="FT4" s="15">
        <v>0.0</v>
      </c>
      <c r="FU4" s="15">
        <v>4.1</v>
      </c>
      <c r="FV4" s="15">
        <v>2.0</v>
      </c>
      <c r="FW4" s="15">
        <v>0.0</v>
      </c>
      <c r="FX4" s="15" t="s">
        <v>272</v>
      </c>
      <c r="FY4" s="15" t="s">
        <v>222</v>
      </c>
      <c r="FZ4" s="15" t="s">
        <v>222</v>
      </c>
      <c r="GA4" s="15">
        <v>30.0</v>
      </c>
      <c r="GB4" s="15" t="s">
        <v>222</v>
      </c>
      <c r="GC4" s="15">
        <v>39.0</v>
      </c>
      <c r="GD4" s="15">
        <v>4.0</v>
      </c>
      <c r="GE4" s="15">
        <v>12.3</v>
      </c>
      <c r="GF4" s="15">
        <v>16.5</v>
      </c>
      <c r="GG4" s="15">
        <f t="shared" si="17"/>
        <v>0.5769230769</v>
      </c>
      <c r="GH4" s="15">
        <v>56.0</v>
      </c>
      <c r="GI4" s="15">
        <v>1.08</v>
      </c>
      <c r="GJ4" s="15">
        <v>5.9</v>
      </c>
      <c r="GK4" s="15">
        <v>34.2</v>
      </c>
      <c r="GL4" s="15">
        <v>4.2</v>
      </c>
      <c r="GM4" s="15" t="s">
        <v>222</v>
      </c>
      <c r="GN4" s="15" t="s">
        <v>222</v>
      </c>
      <c r="GO4" s="15" t="s">
        <v>222</v>
      </c>
      <c r="GP4" s="16">
        <v>44713.0</v>
      </c>
      <c r="GQ4" s="15">
        <v>57.0</v>
      </c>
      <c r="GR4" s="15">
        <v>1.08</v>
      </c>
      <c r="GS4" s="15">
        <v>5.9</v>
      </c>
      <c r="GT4" s="15">
        <v>34.2</v>
      </c>
      <c r="GU4" s="15">
        <v>4.2</v>
      </c>
      <c r="GV4" s="15" t="s">
        <v>222</v>
      </c>
      <c r="GW4" s="15" t="s">
        <v>222</v>
      </c>
      <c r="GX4" s="15" t="s">
        <v>222</v>
      </c>
      <c r="GY4" s="15" t="s">
        <v>222</v>
      </c>
      <c r="GZ4" s="15" t="s">
        <v>222</v>
      </c>
      <c r="HA4" s="15">
        <v>16.5</v>
      </c>
      <c r="HB4" s="15">
        <v>4.0</v>
      </c>
      <c r="HC4" s="15">
        <v>14.3</v>
      </c>
      <c r="HD4" s="15">
        <v>0.0</v>
      </c>
      <c r="HE4" s="15"/>
      <c r="HF4" s="15" t="s">
        <v>222</v>
      </c>
      <c r="HG4" s="15" t="s">
        <v>222</v>
      </c>
      <c r="HH4" s="15" t="s">
        <v>222</v>
      </c>
      <c r="HI4" s="15" t="s">
        <v>222</v>
      </c>
      <c r="HJ4" s="15" t="s">
        <v>222</v>
      </c>
      <c r="HK4" s="15" t="s">
        <v>260</v>
      </c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</row>
    <row r="5">
      <c r="A5" s="21" t="s">
        <v>273</v>
      </c>
      <c r="B5" s="15" t="s">
        <v>274</v>
      </c>
      <c r="C5" s="15">
        <v>1.3298062E7</v>
      </c>
      <c r="D5" s="16">
        <v>20142.0</v>
      </c>
      <c r="E5" s="16">
        <v>44720.0</v>
      </c>
      <c r="F5" s="16">
        <v>44735.0</v>
      </c>
      <c r="G5" s="16">
        <v>44721.0</v>
      </c>
      <c r="H5" s="15">
        <f t="shared" si="1"/>
        <v>67.33972603</v>
      </c>
      <c r="I5" s="15">
        <v>0.0</v>
      </c>
      <c r="J5" s="15">
        <f t="shared" si="2"/>
        <v>15</v>
      </c>
      <c r="K5" s="15">
        <v>1.0</v>
      </c>
      <c r="L5" s="15">
        <v>58.0</v>
      </c>
      <c r="M5" s="15">
        <v>1.65</v>
      </c>
      <c r="N5" s="17">
        <f t="shared" si="3"/>
        <v>21.30394858</v>
      </c>
      <c r="O5" s="15">
        <v>3.0</v>
      </c>
      <c r="P5" s="15" t="s">
        <v>275</v>
      </c>
      <c r="Q5" s="15">
        <v>0.0</v>
      </c>
      <c r="R5" s="15">
        <v>0.0</v>
      </c>
      <c r="S5" s="15" t="s">
        <v>276</v>
      </c>
      <c r="T5" s="15">
        <v>1.0</v>
      </c>
      <c r="U5" s="15">
        <v>1.0</v>
      </c>
      <c r="V5" s="15">
        <v>0.0</v>
      </c>
      <c r="W5" s="15">
        <v>1.0</v>
      </c>
      <c r="X5" s="18">
        <v>0.4305555555555556</v>
      </c>
      <c r="Y5" s="18">
        <v>0.642361111111111</v>
      </c>
      <c r="Z5" s="19">
        <f t="shared" si="4"/>
        <v>0.2118055556</v>
      </c>
      <c r="AA5" s="18">
        <f t="shared" si="5"/>
        <v>305</v>
      </c>
      <c r="AB5" s="15">
        <v>2.0</v>
      </c>
      <c r="AC5" s="15">
        <v>0.0</v>
      </c>
      <c r="AD5" s="15" t="s">
        <v>222</v>
      </c>
      <c r="AE5" s="15" t="s">
        <v>222</v>
      </c>
      <c r="AF5" s="15" t="s">
        <v>244</v>
      </c>
      <c r="AG5" s="15" t="s">
        <v>277</v>
      </c>
      <c r="AH5" s="15" t="s">
        <v>222</v>
      </c>
      <c r="AI5" s="15">
        <v>0.0</v>
      </c>
      <c r="AJ5" s="15">
        <v>1.0</v>
      </c>
      <c r="AK5" s="15">
        <v>0.0</v>
      </c>
      <c r="AL5" s="15" t="s">
        <v>222</v>
      </c>
      <c r="AM5" s="15" t="s">
        <v>222</v>
      </c>
      <c r="AN5" s="15" t="s">
        <v>222</v>
      </c>
      <c r="AO5" s="15">
        <v>0.0</v>
      </c>
      <c r="AP5" s="15" t="s">
        <v>222</v>
      </c>
      <c r="AQ5" s="15" t="s">
        <v>222</v>
      </c>
      <c r="AR5" s="16" t="str">
        <f t="shared" si="18"/>
        <v>#VALUE!</v>
      </c>
      <c r="AS5" s="15">
        <v>0.0</v>
      </c>
      <c r="AT5" s="15" t="s">
        <v>222</v>
      </c>
      <c r="AU5" s="15" t="s">
        <v>222</v>
      </c>
      <c r="AV5" s="15" t="s">
        <v>222</v>
      </c>
      <c r="AW5" s="15" t="s">
        <v>228</v>
      </c>
      <c r="AX5" s="15" t="s">
        <v>225</v>
      </c>
      <c r="AY5" s="15">
        <v>0.0</v>
      </c>
      <c r="AZ5" s="15">
        <v>1.0</v>
      </c>
      <c r="BA5" s="15">
        <v>2.0</v>
      </c>
      <c r="BB5" s="15" t="s">
        <v>278</v>
      </c>
      <c r="BC5" s="15" t="s">
        <v>279</v>
      </c>
      <c r="BD5" s="15" t="s">
        <v>228</v>
      </c>
      <c r="BE5" s="15" t="s">
        <v>222</v>
      </c>
      <c r="BF5" s="15">
        <v>2.7</v>
      </c>
      <c r="BG5" s="15">
        <v>2.0</v>
      </c>
      <c r="BH5" s="15">
        <v>0.0</v>
      </c>
      <c r="BI5" s="15">
        <v>0.0</v>
      </c>
      <c r="BJ5" s="15" t="s">
        <v>222</v>
      </c>
      <c r="BK5" s="15">
        <v>2.0</v>
      </c>
      <c r="BL5" s="15" t="s">
        <v>280</v>
      </c>
      <c r="BM5" s="15" t="s">
        <v>281</v>
      </c>
      <c r="BN5" s="15">
        <v>1.0</v>
      </c>
      <c r="BO5" s="15">
        <v>4.0</v>
      </c>
      <c r="BP5" s="15" t="s">
        <v>222</v>
      </c>
      <c r="BQ5" s="15" t="s">
        <v>222</v>
      </c>
      <c r="BR5" s="15" t="s">
        <v>222</v>
      </c>
      <c r="BS5" s="15">
        <v>0.0</v>
      </c>
      <c r="BT5" s="15" t="s">
        <v>222</v>
      </c>
      <c r="BU5" s="15" t="s">
        <v>222</v>
      </c>
      <c r="BV5" s="15" t="s">
        <v>222</v>
      </c>
      <c r="BW5" s="15">
        <v>0.0</v>
      </c>
      <c r="BX5" s="15">
        <v>0.0</v>
      </c>
      <c r="BY5" s="15">
        <v>25.0</v>
      </c>
      <c r="BZ5" s="15">
        <f t="shared" si="6"/>
        <v>0</v>
      </c>
      <c r="CA5" s="15">
        <v>0.0</v>
      </c>
      <c r="CB5" s="15">
        <v>1.0</v>
      </c>
      <c r="CC5" s="15">
        <v>1.0</v>
      </c>
      <c r="CD5" s="15" t="s">
        <v>245</v>
      </c>
      <c r="CE5" s="15">
        <v>1.0</v>
      </c>
      <c r="CF5" s="15" t="s">
        <v>245</v>
      </c>
      <c r="CG5" s="15">
        <v>5.0</v>
      </c>
      <c r="CH5" s="15">
        <v>13.1</v>
      </c>
      <c r="CI5" s="15" t="s">
        <v>282</v>
      </c>
      <c r="CJ5" s="15" t="s">
        <v>283</v>
      </c>
      <c r="CK5" s="15" t="s">
        <v>284</v>
      </c>
      <c r="CL5" s="15" t="s">
        <v>222</v>
      </c>
      <c r="CM5" s="15" t="s">
        <v>222</v>
      </c>
      <c r="CN5" s="15" t="s">
        <v>222</v>
      </c>
      <c r="CO5" s="15">
        <v>10.7</v>
      </c>
      <c r="CP5" s="15">
        <v>500.0</v>
      </c>
      <c r="CQ5" s="15">
        <v>0.0</v>
      </c>
      <c r="CR5" s="15">
        <v>0.0</v>
      </c>
      <c r="CS5" s="15">
        <v>0.0</v>
      </c>
      <c r="CT5" s="15">
        <v>0.0</v>
      </c>
      <c r="CU5" s="15">
        <v>0.0</v>
      </c>
      <c r="CV5" s="15" t="s">
        <v>285</v>
      </c>
      <c r="CW5" s="16">
        <v>44724.0</v>
      </c>
      <c r="CX5" s="15">
        <v>400.0</v>
      </c>
      <c r="CY5" s="15">
        <f t="shared" si="7"/>
        <v>1.511666667</v>
      </c>
      <c r="CZ5" s="15">
        <v>90.7</v>
      </c>
      <c r="DA5" s="15">
        <f t="shared" si="8"/>
        <v>0.2416666667</v>
      </c>
      <c r="DB5" s="15">
        <v>14.5</v>
      </c>
      <c r="DC5" s="15">
        <v>1.0</v>
      </c>
      <c r="DD5" s="15">
        <v>1.0</v>
      </c>
      <c r="DE5" s="16">
        <v>44725.0</v>
      </c>
      <c r="DF5" s="15">
        <v>400.0</v>
      </c>
      <c r="DG5" s="15">
        <f t="shared" si="9"/>
        <v>0.1933333333</v>
      </c>
      <c r="DH5" s="15">
        <v>11.6</v>
      </c>
      <c r="DI5" s="15">
        <f t="shared" si="10"/>
        <v>0.1466666667</v>
      </c>
      <c r="DJ5" s="15">
        <v>8.8</v>
      </c>
      <c r="DK5" s="15">
        <v>0.0</v>
      </c>
      <c r="DL5" s="15">
        <v>0.0</v>
      </c>
      <c r="DM5" s="15">
        <v>0.0</v>
      </c>
      <c r="DN5" s="15">
        <v>0.0</v>
      </c>
      <c r="DO5" s="15">
        <v>0.0</v>
      </c>
      <c r="DP5" s="15">
        <v>1.0</v>
      </c>
      <c r="DQ5" s="15">
        <v>0.0</v>
      </c>
      <c r="DR5" s="15">
        <v>0.0</v>
      </c>
      <c r="DS5" s="15" t="s">
        <v>222</v>
      </c>
      <c r="DT5" s="15">
        <v>0.0</v>
      </c>
      <c r="DU5" s="15" t="s">
        <v>222</v>
      </c>
      <c r="DV5" s="15">
        <v>0.0</v>
      </c>
      <c r="DW5" s="15" t="s">
        <v>222</v>
      </c>
      <c r="DX5" s="15">
        <v>0.0</v>
      </c>
      <c r="DY5" s="15" t="s">
        <v>222</v>
      </c>
      <c r="DZ5" s="15">
        <v>0.0</v>
      </c>
      <c r="EA5" s="15">
        <v>0.0</v>
      </c>
      <c r="EB5" s="15">
        <v>0.0</v>
      </c>
      <c r="EC5" s="15">
        <v>0.0</v>
      </c>
      <c r="ED5" s="15">
        <v>0.0</v>
      </c>
      <c r="EE5" s="15" t="s">
        <v>255</v>
      </c>
      <c r="EF5" s="16">
        <v>44723.0</v>
      </c>
      <c r="EG5" s="15">
        <v>0.0</v>
      </c>
      <c r="EH5" s="15">
        <f>EF5-G5</f>
        <v>2</v>
      </c>
      <c r="EI5" s="15">
        <v>0.0</v>
      </c>
      <c r="EJ5" s="15" t="s">
        <v>222</v>
      </c>
      <c r="EK5" s="15" t="s">
        <v>222</v>
      </c>
      <c r="EL5" s="15" t="s">
        <v>222</v>
      </c>
      <c r="EM5" s="15" t="s">
        <v>222</v>
      </c>
      <c r="EN5" s="15">
        <v>0.0</v>
      </c>
      <c r="EO5" s="15" t="s">
        <v>222</v>
      </c>
      <c r="EP5" s="15" t="s">
        <v>222</v>
      </c>
      <c r="EQ5" s="15" t="s">
        <v>222</v>
      </c>
      <c r="ER5" s="16">
        <v>44725.0</v>
      </c>
      <c r="ES5" s="16">
        <v>44848.0</v>
      </c>
      <c r="ET5" s="15">
        <f t="shared" si="11"/>
        <v>4</v>
      </c>
      <c r="EU5" s="15">
        <f t="shared" si="12"/>
        <v>123</v>
      </c>
      <c r="EV5" s="16">
        <v>44725.0</v>
      </c>
      <c r="EW5" s="15">
        <f t="shared" si="13"/>
        <v>4</v>
      </c>
      <c r="EX5" s="15">
        <v>0.0</v>
      </c>
      <c r="EY5" s="15">
        <v>0.0</v>
      </c>
      <c r="EZ5" s="15">
        <v>0.0</v>
      </c>
      <c r="FA5" s="15">
        <v>1.0</v>
      </c>
      <c r="FB5" s="15" t="s">
        <v>286</v>
      </c>
      <c r="FC5" s="20">
        <v>45465.0</v>
      </c>
      <c r="FD5" s="15" t="s">
        <v>222</v>
      </c>
      <c r="FE5" s="15" t="s">
        <v>222</v>
      </c>
      <c r="FF5" s="16" t="str">
        <f t="shared" si="14"/>
        <v>#VALUE!</v>
      </c>
      <c r="FG5" s="15" t="s">
        <v>222</v>
      </c>
      <c r="FH5" s="15">
        <v>0.0</v>
      </c>
      <c r="FI5" s="15" t="s">
        <v>222</v>
      </c>
      <c r="FJ5" s="15" t="s">
        <v>222</v>
      </c>
      <c r="FK5" s="15">
        <f t="shared" si="15"/>
        <v>745</v>
      </c>
      <c r="FL5" s="15">
        <v>1.0</v>
      </c>
      <c r="FM5" s="15" t="s">
        <v>222</v>
      </c>
      <c r="FN5" s="16">
        <v>44725.0</v>
      </c>
      <c r="FO5" s="15">
        <f t="shared" si="19"/>
        <v>4</v>
      </c>
      <c r="FP5" s="15">
        <v>1.0</v>
      </c>
      <c r="FQ5" s="15" t="s">
        <v>258</v>
      </c>
      <c r="FR5" s="16">
        <v>44725.0</v>
      </c>
      <c r="FS5" s="15">
        <f t="shared" si="16"/>
        <v>4</v>
      </c>
      <c r="FT5" s="15">
        <v>0.0</v>
      </c>
      <c r="FU5" s="15">
        <v>5.0</v>
      </c>
      <c r="FV5" s="15">
        <v>2.0</v>
      </c>
      <c r="FW5" s="15">
        <v>0.0</v>
      </c>
      <c r="FX5" s="15" t="s">
        <v>287</v>
      </c>
      <c r="FY5" s="15">
        <v>20.0</v>
      </c>
      <c r="FZ5" s="15" t="s">
        <v>222</v>
      </c>
      <c r="GA5" s="15">
        <v>39.0</v>
      </c>
      <c r="GB5" s="15" t="s">
        <v>222</v>
      </c>
      <c r="GC5" s="15">
        <v>43.0</v>
      </c>
      <c r="GD5" s="15">
        <v>4.8</v>
      </c>
      <c r="GE5" s="15">
        <v>10.0</v>
      </c>
      <c r="GF5" s="15" t="s">
        <v>222</v>
      </c>
      <c r="GG5" s="15" t="s">
        <v>222</v>
      </c>
      <c r="GH5" s="15"/>
      <c r="GI5" s="15">
        <v>1.04</v>
      </c>
      <c r="GJ5" s="15">
        <v>6.5</v>
      </c>
      <c r="GK5" s="15">
        <v>44.3</v>
      </c>
      <c r="GL5" s="15" t="s">
        <v>222</v>
      </c>
      <c r="GM5" s="15" t="s">
        <v>288</v>
      </c>
      <c r="GN5" s="15" t="s">
        <v>288</v>
      </c>
      <c r="GO5" s="15" t="s">
        <v>288</v>
      </c>
      <c r="GP5" s="16">
        <v>44776.0</v>
      </c>
      <c r="GQ5" s="15">
        <v>54.5</v>
      </c>
      <c r="GR5" s="15">
        <v>1.02</v>
      </c>
      <c r="GS5" s="15" t="s">
        <v>222</v>
      </c>
      <c r="GT5" s="15">
        <v>35.0</v>
      </c>
      <c r="GU5" s="15">
        <v>1.0</v>
      </c>
      <c r="GV5" s="15">
        <v>55.0</v>
      </c>
      <c r="GW5" s="15" t="s">
        <v>289</v>
      </c>
      <c r="GX5" s="15">
        <v>6.0</v>
      </c>
      <c r="GY5" s="15">
        <v>36.0</v>
      </c>
      <c r="GZ5" s="15" t="s">
        <v>222</v>
      </c>
      <c r="HA5" s="15"/>
      <c r="HB5" s="15"/>
      <c r="HC5" s="15"/>
      <c r="HD5" s="15"/>
      <c r="HE5" s="15"/>
      <c r="HF5" s="15" t="s">
        <v>222</v>
      </c>
      <c r="HG5" s="15" t="s">
        <v>222</v>
      </c>
      <c r="HH5" s="15" t="s">
        <v>222</v>
      </c>
      <c r="HI5" s="15" t="s">
        <v>222</v>
      </c>
      <c r="HJ5" s="15">
        <v>57.8</v>
      </c>
      <c r="HK5" s="15" t="s">
        <v>290</v>
      </c>
      <c r="HL5" s="16">
        <v>45230.0</v>
      </c>
      <c r="HM5" s="15" t="s">
        <v>291</v>
      </c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</row>
    <row r="6">
      <c r="A6" s="14" t="s">
        <v>218</v>
      </c>
      <c r="B6" s="15" t="s">
        <v>292</v>
      </c>
      <c r="C6" s="15">
        <v>1.0520335E7</v>
      </c>
      <c r="D6" s="16">
        <v>23981.0</v>
      </c>
      <c r="E6" s="16">
        <v>44837.0</v>
      </c>
      <c r="F6" s="16">
        <v>44846.0</v>
      </c>
      <c r="G6" s="16">
        <v>44838.0</v>
      </c>
      <c r="H6" s="15">
        <f t="shared" si="1"/>
        <v>57.14246575</v>
      </c>
      <c r="I6" s="15">
        <v>0.0</v>
      </c>
      <c r="J6" s="15">
        <f t="shared" si="2"/>
        <v>9</v>
      </c>
      <c r="K6" s="15">
        <v>0.0</v>
      </c>
      <c r="L6" s="15">
        <v>80.0</v>
      </c>
      <c r="M6" s="15">
        <v>1.82</v>
      </c>
      <c r="N6" s="17">
        <f t="shared" si="3"/>
        <v>24.1516725</v>
      </c>
      <c r="O6" s="15">
        <v>3.0</v>
      </c>
      <c r="P6" s="15" t="s">
        <v>293</v>
      </c>
      <c r="Q6" s="15">
        <v>0.0</v>
      </c>
      <c r="R6" s="15">
        <v>0.0</v>
      </c>
      <c r="S6" s="15" t="s">
        <v>294</v>
      </c>
      <c r="T6" s="15">
        <v>1.0</v>
      </c>
      <c r="U6" s="15">
        <v>0.0</v>
      </c>
      <c r="V6" s="15">
        <v>0.0</v>
      </c>
      <c r="W6" s="15">
        <v>1.0</v>
      </c>
      <c r="X6" s="18">
        <v>0.5625</v>
      </c>
      <c r="Y6" s="18">
        <v>0.7729166666666667</v>
      </c>
      <c r="Z6" s="19">
        <f t="shared" si="4"/>
        <v>0.2104166667</v>
      </c>
      <c r="AA6" s="18">
        <f t="shared" si="5"/>
        <v>303</v>
      </c>
      <c r="AB6" s="15">
        <v>2.0</v>
      </c>
      <c r="AC6" s="15">
        <v>0.0</v>
      </c>
      <c r="AD6" s="15" t="s">
        <v>222</v>
      </c>
      <c r="AE6" s="15" t="s">
        <v>222</v>
      </c>
      <c r="AF6" s="15">
        <v>0.0</v>
      </c>
      <c r="AG6" s="15" t="s">
        <v>295</v>
      </c>
      <c r="AH6" s="15" t="s">
        <v>222</v>
      </c>
      <c r="AI6" s="15">
        <v>0.0</v>
      </c>
      <c r="AJ6" s="15">
        <v>1.0</v>
      </c>
      <c r="AK6" s="15">
        <v>0.0</v>
      </c>
      <c r="AL6" s="15" t="s">
        <v>222</v>
      </c>
      <c r="AM6" s="15" t="s">
        <v>222</v>
      </c>
      <c r="AN6" s="15" t="s">
        <v>222</v>
      </c>
      <c r="AO6" s="15">
        <v>0.0</v>
      </c>
      <c r="AP6" s="15" t="s">
        <v>222</v>
      </c>
      <c r="AQ6" s="15" t="s">
        <v>222</v>
      </c>
      <c r="AR6" s="15" t="s">
        <v>222</v>
      </c>
      <c r="AS6" s="15">
        <v>0.0</v>
      </c>
      <c r="AT6" s="15" t="s">
        <v>222</v>
      </c>
      <c r="AU6" s="15" t="s">
        <v>222</v>
      </c>
      <c r="AV6" s="15" t="s">
        <v>222</v>
      </c>
      <c r="AW6" s="15" t="s">
        <v>224</v>
      </c>
      <c r="AX6" s="15" t="s">
        <v>225</v>
      </c>
      <c r="AY6" s="15">
        <v>0.0</v>
      </c>
      <c r="AZ6" s="15">
        <v>1.0</v>
      </c>
      <c r="BA6" s="15">
        <v>2.0</v>
      </c>
      <c r="BB6" s="15" t="s">
        <v>296</v>
      </c>
      <c r="BC6" s="15" t="s">
        <v>222</v>
      </c>
      <c r="BD6" s="15" t="s">
        <v>228</v>
      </c>
      <c r="BE6" s="15" t="s">
        <v>222</v>
      </c>
      <c r="BF6" s="15">
        <v>3.0</v>
      </c>
      <c r="BG6" s="15">
        <v>2.0</v>
      </c>
      <c r="BH6" s="15">
        <v>1.0</v>
      </c>
      <c r="BI6" s="15">
        <v>0.0</v>
      </c>
      <c r="BJ6" s="15" t="s">
        <v>222</v>
      </c>
      <c r="BK6" s="15" t="s">
        <v>229</v>
      </c>
      <c r="BL6" s="15">
        <v>0.0</v>
      </c>
      <c r="BM6" s="15" t="s">
        <v>222</v>
      </c>
      <c r="BN6" s="15">
        <v>1.0</v>
      </c>
      <c r="BO6" s="15">
        <v>11.0</v>
      </c>
      <c r="BP6" s="15" t="s">
        <v>222</v>
      </c>
      <c r="BQ6" s="15" t="s">
        <v>222</v>
      </c>
      <c r="BR6" s="15" t="s">
        <v>222</v>
      </c>
      <c r="BS6" s="15">
        <v>0.0</v>
      </c>
      <c r="BT6" s="15" t="s">
        <v>222</v>
      </c>
      <c r="BU6" s="15" t="s">
        <v>222</v>
      </c>
      <c r="BV6" s="15" t="s">
        <v>222</v>
      </c>
      <c r="BW6" s="15">
        <v>1.0</v>
      </c>
      <c r="BX6" s="15">
        <v>2.0</v>
      </c>
      <c r="BY6" s="15">
        <v>47.0</v>
      </c>
      <c r="BZ6" s="15">
        <f t="shared" si="6"/>
        <v>0.04255319149</v>
      </c>
      <c r="CA6" s="15">
        <v>1.0</v>
      </c>
      <c r="CB6" s="15">
        <v>1.0</v>
      </c>
      <c r="CC6" s="15">
        <v>1.0</v>
      </c>
      <c r="CD6" s="15" t="s">
        <v>224</v>
      </c>
      <c r="CE6" s="15">
        <v>1.0</v>
      </c>
      <c r="CF6" s="15" t="s">
        <v>224</v>
      </c>
      <c r="CG6" s="15" t="s">
        <v>222</v>
      </c>
      <c r="CH6" s="15">
        <v>13.6</v>
      </c>
      <c r="CI6" s="15" t="s">
        <v>297</v>
      </c>
      <c r="CJ6" s="15" t="s">
        <v>298</v>
      </c>
      <c r="CK6" s="15" t="s">
        <v>251</v>
      </c>
      <c r="CL6" s="15" t="s">
        <v>222</v>
      </c>
      <c r="CM6" s="15" t="s">
        <v>222</v>
      </c>
      <c r="CN6" s="15" t="s">
        <v>222</v>
      </c>
      <c r="CO6" s="15">
        <v>13.7</v>
      </c>
      <c r="CP6" s="15">
        <v>300.0</v>
      </c>
      <c r="CQ6" s="15">
        <v>2.0</v>
      </c>
      <c r="CR6" s="15">
        <v>0.0</v>
      </c>
      <c r="CS6" s="15">
        <v>0.0</v>
      </c>
      <c r="CT6" s="15">
        <v>0.0</v>
      </c>
      <c r="CU6" s="15">
        <v>0.0</v>
      </c>
      <c r="CV6" s="15" t="s">
        <v>299</v>
      </c>
      <c r="CW6" s="16">
        <v>44841.0</v>
      </c>
      <c r="CX6" s="15">
        <v>300.0</v>
      </c>
      <c r="CY6" s="15">
        <f t="shared" si="7"/>
        <v>0.1766666667</v>
      </c>
      <c r="CZ6" s="15">
        <v>10.6</v>
      </c>
      <c r="DA6" s="15">
        <f t="shared" si="8"/>
        <v>0.1433333333</v>
      </c>
      <c r="DB6" s="15">
        <v>8.6</v>
      </c>
      <c r="DC6" s="15">
        <v>0.0</v>
      </c>
      <c r="DD6" s="15">
        <v>0.0</v>
      </c>
      <c r="DE6" s="16">
        <v>44842.0</v>
      </c>
      <c r="DF6" s="15">
        <v>300.0</v>
      </c>
      <c r="DG6" s="15">
        <f t="shared" si="9"/>
        <v>0.09166666667</v>
      </c>
      <c r="DH6" s="15">
        <v>5.5</v>
      </c>
      <c r="DI6" s="15">
        <f t="shared" si="10"/>
        <v>0.1283333333</v>
      </c>
      <c r="DJ6" s="15">
        <v>7.7</v>
      </c>
      <c r="DK6" s="15">
        <v>0.0</v>
      </c>
      <c r="DL6" s="15">
        <v>0.0</v>
      </c>
      <c r="DM6" s="15">
        <v>0.0</v>
      </c>
      <c r="DN6" s="15">
        <v>0.0</v>
      </c>
      <c r="DO6" s="15">
        <v>0.0</v>
      </c>
      <c r="DP6" s="15">
        <v>0.0</v>
      </c>
      <c r="DQ6" s="15">
        <v>0.0</v>
      </c>
      <c r="DR6" s="15">
        <v>0.0</v>
      </c>
      <c r="DS6" s="15" t="s">
        <v>222</v>
      </c>
      <c r="DT6" s="15">
        <v>0.0</v>
      </c>
      <c r="DU6" s="15" t="s">
        <v>222</v>
      </c>
      <c r="DV6" s="15">
        <v>0.0</v>
      </c>
      <c r="DW6" s="15" t="s">
        <v>222</v>
      </c>
      <c r="DX6" s="15">
        <v>0.0</v>
      </c>
      <c r="DY6" s="15" t="s">
        <v>222</v>
      </c>
      <c r="DZ6" s="15">
        <v>0.0</v>
      </c>
      <c r="EA6" s="15">
        <v>0.0</v>
      </c>
      <c r="EB6" s="15">
        <v>0.0</v>
      </c>
      <c r="EC6" s="15">
        <v>0.0</v>
      </c>
      <c r="ED6" s="15">
        <v>0.0</v>
      </c>
      <c r="EE6" s="15" t="s">
        <v>222</v>
      </c>
      <c r="EF6" s="15" t="s">
        <v>222</v>
      </c>
      <c r="EG6" s="15">
        <v>0.0</v>
      </c>
      <c r="EH6" s="15" t="s">
        <v>222</v>
      </c>
      <c r="EI6" s="15">
        <v>0.0</v>
      </c>
      <c r="EJ6" s="15" t="s">
        <v>222</v>
      </c>
      <c r="EK6" s="15" t="s">
        <v>222</v>
      </c>
      <c r="EL6" s="15" t="s">
        <v>222</v>
      </c>
      <c r="EM6" s="15" t="s">
        <v>222</v>
      </c>
      <c r="EN6" s="15">
        <v>0.0</v>
      </c>
      <c r="EO6" s="15" t="s">
        <v>222</v>
      </c>
      <c r="EP6" s="15" t="s">
        <v>222</v>
      </c>
      <c r="EQ6" s="15" t="s">
        <v>222</v>
      </c>
      <c r="ER6" s="16">
        <v>44841.0</v>
      </c>
      <c r="ES6" s="16">
        <v>45077.0</v>
      </c>
      <c r="ET6" s="15">
        <f t="shared" si="11"/>
        <v>3</v>
      </c>
      <c r="EU6" s="15">
        <f t="shared" si="12"/>
        <v>236</v>
      </c>
      <c r="EV6" s="16">
        <v>44841.0</v>
      </c>
      <c r="EW6" s="15">
        <f t="shared" si="13"/>
        <v>3</v>
      </c>
      <c r="EX6" s="15">
        <v>0.0</v>
      </c>
      <c r="EY6" s="15">
        <v>0.0</v>
      </c>
      <c r="EZ6" s="15">
        <v>0.0</v>
      </c>
      <c r="FA6" s="15" t="s">
        <v>222</v>
      </c>
      <c r="FB6" s="15" t="s">
        <v>222</v>
      </c>
      <c r="FC6" s="20">
        <v>45376.0</v>
      </c>
      <c r="FD6" s="15" t="s">
        <v>222</v>
      </c>
      <c r="FE6" s="15" t="s">
        <v>222</v>
      </c>
      <c r="FF6" s="16" t="str">
        <f t="shared" si="14"/>
        <v>#VALUE!</v>
      </c>
      <c r="FG6" s="15" t="s">
        <v>222</v>
      </c>
      <c r="FH6" s="15">
        <v>0.0</v>
      </c>
      <c r="FI6" s="15" t="s">
        <v>222</v>
      </c>
      <c r="FJ6" s="15" t="s">
        <v>222</v>
      </c>
      <c r="FK6" s="15">
        <f t="shared" si="15"/>
        <v>539</v>
      </c>
      <c r="FL6" s="15">
        <v>0.0</v>
      </c>
      <c r="FM6" s="15" t="s">
        <v>222</v>
      </c>
      <c r="FN6" s="15" t="s">
        <v>222</v>
      </c>
      <c r="FO6" s="15" t="s">
        <v>222</v>
      </c>
      <c r="FP6" s="15">
        <v>1.0</v>
      </c>
      <c r="FQ6" s="15" t="s">
        <v>237</v>
      </c>
      <c r="FR6" s="16">
        <v>44841.0</v>
      </c>
      <c r="FS6" s="15">
        <f t="shared" si="16"/>
        <v>3</v>
      </c>
      <c r="FT6" s="15">
        <v>0.0</v>
      </c>
      <c r="FU6" s="15">
        <v>6.2</v>
      </c>
      <c r="FV6" s="15">
        <v>2.0</v>
      </c>
      <c r="FW6" s="15">
        <v>0.0</v>
      </c>
      <c r="FX6" s="15" t="s">
        <v>300</v>
      </c>
      <c r="FY6" s="15">
        <v>20.0</v>
      </c>
      <c r="FZ6" s="15" t="s">
        <v>222</v>
      </c>
      <c r="GA6" s="15">
        <v>42.1</v>
      </c>
      <c r="GB6" s="15" t="s">
        <v>222</v>
      </c>
      <c r="GC6" s="15">
        <v>86.5</v>
      </c>
      <c r="GD6" s="15">
        <v>6.2</v>
      </c>
      <c r="GE6" s="15">
        <v>20.0</v>
      </c>
      <c r="GF6" s="15">
        <v>13.4</v>
      </c>
      <c r="GG6" s="15">
        <f t="shared" ref="GG6:GG37" si="20">1-(GF6/GC6)</f>
        <v>0.8450867052</v>
      </c>
      <c r="GH6" s="15">
        <v>77.1</v>
      </c>
      <c r="GI6" s="15" t="s">
        <v>222</v>
      </c>
      <c r="GJ6" s="15" t="s">
        <v>222</v>
      </c>
      <c r="GK6" s="15">
        <v>45.8</v>
      </c>
      <c r="GL6" s="15" t="s">
        <v>222</v>
      </c>
      <c r="GM6" s="15" t="s">
        <v>222</v>
      </c>
      <c r="GN6" s="15" t="s">
        <v>222</v>
      </c>
      <c r="GO6" s="15" t="s">
        <v>222</v>
      </c>
      <c r="GP6" s="16">
        <v>44880.0</v>
      </c>
      <c r="GQ6" s="15">
        <v>77.1</v>
      </c>
      <c r="GR6" s="15" t="s">
        <v>222</v>
      </c>
      <c r="GS6" s="15" t="s">
        <v>222</v>
      </c>
      <c r="GT6" s="15">
        <v>45.8</v>
      </c>
      <c r="GU6" s="15">
        <v>3.3</v>
      </c>
      <c r="GV6" s="15">
        <v>67.5</v>
      </c>
      <c r="GW6" s="15" t="s">
        <v>222</v>
      </c>
      <c r="GX6" s="15" t="s">
        <v>222</v>
      </c>
      <c r="GY6" s="15">
        <v>36.8</v>
      </c>
      <c r="GZ6" s="15" t="s">
        <v>222</v>
      </c>
      <c r="HA6" s="15">
        <v>13.4</v>
      </c>
      <c r="HB6" s="15">
        <v>4.0</v>
      </c>
      <c r="HC6" s="15">
        <v>10.7</v>
      </c>
      <c r="HD6" s="15">
        <v>0.0</v>
      </c>
      <c r="HE6" s="15">
        <v>0.0</v>
      </c>
      <c r="HF6" s="15" t="s">
        <v>222</v>
      </c>
      <c r="HG6" s="15" t="s">
        <v>222</v>
      </c>
      <c r="HH6" s="15">
        <v>82.6</v>
      </c>
      <c r="HI6" s="15" t="s">
        <v>222</v>
      </c>
      <c r="HJ6" s="15">
        <v>34.9</v>
      </c>
      <c r="HK6" s="15" t="s">
        <v>301</v>
      </c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</row>
    <row r="7">
      <c r="A7" s="14" t="s">
        <v>218</v>
      </c>
      <c r="B7" s="15" t="s">
        <v>302</v>
      </c>
      <c r="C7" s="15">
        <v>5.00000989E8</v>
      </c>
      <c r="D7" s="16">
        <v>29394.0</v>
      </c>
      <c r="E7" s="16">
        <v>44879.0</v>
      </c>
      <c r="F7" s="16">
        <v>44906.0</v>
      </c>
      <c r="G7" s="16">
        <v>44880.0</v>
      </c>
      <c r="H7" s="15">
        <f t="shared" si="1"/>
        <v>42.42739726</v>
      </c>
      <c r="I7" s="15">
        <v>0.0</v>
      </c>
      <c r="J7" s="15">
        <f t="shared" si="2"/>
        <v>27</v>
      </c>
      <c r="K7" s="15">
        <v>0.0</v>
      </c>
      <c r="L7" s="15">
        <v>75.0</v>
      </c>
      <c r="M7" s="15">
        <v>1.78</v>
      </c>
      <c r="N7" s="17">
        <f t="shared" si="3"/>
        <v>23.67125363</v>
      </c>
      <c r="O7" s="15">
        <v>2.0</v>
      </c>
      <c r="P7" s="15" t="s">
        <v>303</v>
      </c>
      <c r="Q7" s="15">
        <v>0.0</v>
      </c>
      <c r="R7" s="15">
        <v>0.0</v>
      </c>
      <c r="S7" s="15" t="s">
        <v>222</v>
      </c>
      <c r="T7" s="15">
        <v>0.0</v>
      </c>
      <c r="U7" s="15">
        <v>0.0</v>
      </c>
      <c r="V7" s="15">
        <v>0.0</v>
      </c>
      <c r="W7" s="15">
        <v>1.0</v>
      </c>
      <c r="X7" s="18">
        <v>0.43124999999999997</v>
      </c>
      <c r="Y7" s="18">
        <v>0.61875</v>
      </c>
      <c r="Z7" s="19">
        <f t="shared" si="4"/>
        <v>0.1875</v>
      </c>
      <c r="AA7" s="18">
        <f t="shared" si="5"/>
        <v>270</v>
      </c>
      <c r="AB7" s="15">
        <v>2.0</v>
      </c>
      <c r="AC7" s="15">
        <v>0.0</v>
      </c>
      <c r="AD7" s="15" t="s">
        <v>222</v>
      </c>
      <c r="AE7" s="15" t="s">
        <v>222</v>
      </c>
      <c r="AF7" s="15">
        <v>0.0</v>
      </c>
      <c r="AG7" s="15" t="s">
        <v>295</v>
      </c>
      <c r="AH7" s="15" t="s">
        <v>222</v>
      </c>
      <c r="AI7" s="15">
        <v>0.0</v>
      </c>
      <c r="AJ7" s="15">
        <v>1.0</v>
      </c>
      <c r="AK7" s="15">
        <v>0.0</v>
      </c>
      <c r="AL7" s="15" t="s">
        <v>222</v>
      </c>
      <c r="AM7" s="15" t="s">
        <v>222</v>
      </c>
      <c r="AN7" s="15" t="s">
        <v>222</v>
      </c>
      <c r="AO7" s="15">
        <v>0.0</v>
      </c>
      <c r="AP7" s="15" t="s">
        <v>222</v>
      </c>
      <c r="AQ7" s="15" t="s">
        <v>222</v>
      </c>
      <c r="AR7" s="15" t="s">
        <v>222</v>
      </c>
      <c r="AS7" s="15">
        <v>0.0</v>
      </c>
      <c r="AT7" s="15" t="s">
        <v>222</v>
      </c>
      <c r="AU7" s="15" t="s">
        <v>222</v>
      </c>
      <c r="AV7" s="15" t="s">
        <v>222</v>
      </c>
      <c r="AW7" s="15" t="s">
        <v>224</v>
      </c>
      <c r="AX7" s="15" t="s">
        <v>225</v>
      </c>
      <c r="AY7" s="15">
        <v>0.0</v>
      </c>
      <c r="AZ7" s="15">
        <v>1.0</v>
      </c>
      <c r="BA7" s="15">
        <v>2.0</v>
      </c>
      <c r="BB7" s="15" t="s">
        <v>304</v>
      </c>
      <c r="BC7" s="15" t="s">
        <v>305</v>
      </c>
      <c r="BD7" s="15" t="s">
        <v>304</v>
      </c>
      <c r="BE7" s="15" t="s">
        <v>222</v>
      </c>
      <c r="BF7" s="15">
        <v>3.2</v>
      </c>
      <c r="BG7" s="15">
        <v>2.0</v>
      </c>
      <c r="BH7" s="15">
        <v>2.0</v>
      </c>
      <c r="BI7" s="15">
        <v>0.0</v>
      </c>
      <c r="BJ7" s="15" t="s">
        <v>222</v>
      </c>
      <c r="BK7" s="15">
        <v>3.0</v>
      </c>
      <c r="BL7" s="15">
        <v>0.0</v>
      </c>
      <c r="BM7" s="15" t="s">
        <v>222</v>
      </c>
      <c r="BN7" s="15">
        <v>1.0</v>
      </c>
      <c r="BO7" s="15">
        <v>11.0</v>
      </c>
      <c r="BP7" s="15" t="s">
        <v>222</v>
      </c>
      <c r="BQ7" s="15" t="s">
        <v>222</v>
      </c>
      <c r="BR7" s="15" t="s">
        <v>222</v>
      </c>
      <c r="BS7" s="15">
        <v>0.0</v>
      </c>
      <c r="BT7" s="15" t="s">
        <v>222</v>
      </c>
      <c r="BU7" s="15" t="s">
        <v>222</v>
      </c>
      <c r="BV7" s="15" t="s">
        <v>222</v>
      </c>
      <c r="BW7" s="15">
        <v>1.0</v>
      </c>
      <c r="BX7" s="15">
        <v>5.0</v>
      </c>
      <c r="BY7" s="15">
        <v>30.0</v>
      </c>
      <c r="BZ7" s="15">
        <f t="shared" si="6"/>
        <v>0.1666666667</v>
      </c>
      <c r="CA7" s="15">
        <v>1.0</v>
      </c>
      <c r="CB7" s="15">
        <v>1.0</v>
      </c>
      <c r="CC7" s="15">
        <v>1.0</v>
      </c>
      <c r="CD7" s="15" t="s">
        <v>224</v>
      </c>
      <c r="CE7" s="15">
        <v>1.0</v>
      </c>
      <c r="CF7" s="15" t="s">
        <v>224</v>
      </c>
      <c r="CG7" s="15">
        <v>66.0</v>
      </c>
      <c r="CH7" s="15">
        <v>13.8</v>
      </c>
      <c r="CI7" s="15" t="s">
        <v>306</v>
      </c>
      <c r="CJ7" s="15" t="s">
        <v>307</v>
      </c>
      <c r="CK7" s="15" t="s">
        <v>308</v>
      </c>
      <c r="CL7" s="15" t="s">
        <v>222</v>
      </c>
      <c r="CM7" s="15" t="s">
        <v>222</v>
      </c>
      <c r="CN7" s="15" t="s">
        <v>222</v>
      </c>
      <c r="CO7" s="15">
        <v>12.2</v>
      </c>
      <c r="CP7" s="15">
        <v>250.0</v>
      </c>
      <c r="CQ7" s="15">
        <v>0.0</v>
      </c>
      <c r="CR7" s="15">
        <v>0.0</v>
      </c>
      <c r="CS7" s="15">
        <v>0.0</v>
      </c>
      <c r="CT7" s="15">
        <v>0.0</v>
      </c>
      <c r="CU7" s="15">
        <v>0.0</v>
      </c>
      <c r="CV7" s="15" t="s">
        <v>309</v>
      </c>
      <c r="CW7" s="16">
        <v>44883.0</v>
      </c>
      <c r="CX7" s="15">
        <v>100.0</v>
      </c>
      <c r="CY7" s="15">
        <f t="shared" si="7"/>
        <v>1.031666667</v>
      </c>
      <c r="CZ7" s="15">
        <v>61.9</v>
      </c>
      <c r="DA7" s="15">
        <f t="shared" si="8"/>
        <v>0.2533333333</v>
      </c>
      <c r="DB7" s="15">
        <v>15.2</v>
      </c>
      <c r="DC7" s="15">
        <v>1.0</v>
      </c>
      <c r="DD7" s="15">
        <v>1.0</v>
      </c>
      <c r="DE7" s="16">
        <v>44885.0</v>
      </c>
      <c r="DF7" s="15">
        <v>50.0</v>
      </c>
      <c r="DG7" s="15">
        <f t="shared" si="9"/>
        <v>0.25</v>
      </c>
      <c r="DH7" s="15">
        <v>15.0</v>
      </c>
      <c r="DI7" s="15">
        <f t="shared" si="10"/>
        <v>0.3016666667</v>
      </c>
      <c r="DJ7" s="15">
        <v>18.1</v>
      </c>
      <c r="DK7" s="15">
        <v>0.0</v>
      </c>
      <c r="DL7" s="15">
        <v>0.0</v>
      </c>
      <c r="DM7" s="15">
        <v>1.0</v>
      </c>
      <c r="DN7" s="15">
        <v>0.0</v>
      </c>
      <c r="DO7" s="15">
        <v>0.0</v>
      </c>
      <c r="DP7" s="15">
        <v>0.0</v>
      </c>
      <c r="DQ7" s="15">
        <v>1.0</v>
      </c>
      <c r="DR7" s="15">
        <v>0.0</v>
      </c>
      <c r="DS7" s="15" t="s">
        <v>222</v>
      </c>
      <c r="DT7" s="15">
        <v>0.0</v>
      </c>
      <c r="DU7" s="15" t="s">
        <v>222</v>
      </c>
      <c r="DV7" s="15">
        <v>0.0</v>
      </c>
      <c r="DW7" s="15" t="s">
        <v>222</v>
      </c>
      <c r="DX7" s="15">
        <v>0.0</v>
      </c>
      <c r="DY7" s="15" t="s">
        <v>222</v>
      </c>
      <c r="DZ7" s="15">
        <v>0.0</v>
      </c>
      <c r="EA7" s="15">
        <v>0.0</v>
      </c>
      <c r="EB7" s="15">
        <v>0.0</v>
      </c>
      <c r="EC7" s="15">
        <v>0.0</v>
      </c>
      <c r="ED7" s="15">
        <v>0.0</v>
      </c>
      <c r="EE7" s="15" t="s">
        <v>222</v>
      </c>
      <c r="EF7" s="15" t="s">
        <v>222</v>
      </c>
      <c r="EG7" s="15">
        <v>0.0</v>
      </c>
      <c r="EH7" s="15" t="s">
        <v>222</v>
      </c>
      <c r="EI7" s="15">
        <v>1.0</v>
      </c>
      <c r="EJ7" s="16">
        <v>44890.0</v>
      </c>
      <c r="EK7" s="16">
        <v>44894.0</v>
      </c>
      <c r="EL7" s="15">
        <f>EK7-EJ7</f>
        <v>4</v>
      </c>
      <c r="EM7" s="15">
        <v>0.0</v>
      </c>
      <c r="EN7" s="15">
        <v>1.0</v>
      </c>
      <c r="EO7" s="16">
        <v>44902.0</v>
      </c>
      <c r="EP7" s="15" t="s">
        <v>310</v>
      </c>
      <c r="EQ7" s="15">
        <v>1.0</v>
      </c>
      <c r="ER7" s="16">
        <v>44883.0</v>
      </c>
      <c r="ES7" s="16">
        <v>44910.0</v>
      </c>
      <c r="ET7" s="15">
        <f t="shared" si="11"/>
        <v>3</v>
      </c>
      <c r="EU7" s="15">
        <f t="shared" si="12"/>
        <v>27</v>
      </c>
      <c r="EV7" s="16">
        <v>44904.0</v>
      </c>
      <c r="EW7" s="15">
        <f t="shared" si="13"/>
        <v>24</v>
      </c>
      <c r="EX7" s="15">
        <v>3.0</v>
      </c>
      <c r="EY7" s="15">
        <v>0.0</v>
      </c>
      <c r="EZ7" s="15">
        <v>0.0</v>
      </c>
      <c r="FA7" s="15">
        <v>1.0</v>
      </c>
      <c r="FB7" s="15" t="s">
        <v>236</v>
      </c>
      <c r="FC7" s="20">
        <v>45357.0</v>
      </c>
      <c r="FD7" s="15">
        <v>2.0</v>
      </c>
      <c r="FE7" s="16">
        <v>45268.0</v>
      </c>
      <c r="FF7" s="15">
        <f t="shared" si="14"/>
        <v>388</v>
      </c>
      <c r="FG7" s="15" t="s">
        <v>311</v>
      </c>
      <c r="FH7" s="15">
        <v>0.0</v>
      </c>
      <c r="FI7" s="15" t="s">
        <v>222</v>
      </c>
      <c r="FJ7" s="15" t="s">
        <v>222</v>
      </c>
      <c r="FK7" s="15">
        <f t="shared" si="15"/>
        <v>478</v>
      </c>
      <c r="FL7" s="15">
        <v>0.0</v>
      </c>
      <c r="FM7" s="15" t="s">
        <v>222</v>
      </c>
      <c r="FN7" s="15" t="s">
        <v>222</v>
      </c>
      <c r="FO7" s="16" t="str">
        <f t="shared" ref="FO7:FO14" si="21">FN7-G7</f>
        <v>#VALUE!</v>
      </c>
      <c r="FP7" s="15">
        <v>1.0</v>
      </c>
      <c r="FQ7" s="15" t="s">
        <v>237</v>
      </c>
      <c r="FR7" s="16">
        <v>44904.0</v>
      </c>
      <c r="FS7" s="15">
        <f t="shared" si="16"/>
        <v>24</v>
      </c>
      <c r="FT7" s="15">
        <v>0.0</v>
      </c>
      <c r="FU7" s="15">
        <v>3.0</v>
      </c>
      <c r="FV7" s="15">
        <v>2.0</v>
      </c>
      <c r="FW7" s="15">
        <v>0.0</v>
      </c>
      <c r="FX7" s="15" t="s">
        <v>312</v>
      </c>
      <c r="FY7" s="15">
        <v>11.5</v>
      </c>
      <c r="FZ7" s="15" t="s">
        <v>222</v>
      </c>
      <c r="GA7" s="15">
        <v>39.4</v>
      </c>
      <c r="GB7" s="15" t="s">
        <v>222</v>
      </c>
      <c r="GC7" s="15">
        <v>132.0</v>
      </c>
      <c r="GD7" s="15">
        <v>2.1</v>
      </c>
      <c r="GE7" s="15">
        <v>16.0</v>
      </c>
      <c r="GF7" s="15">
        <v>19.5</v>
      </c>
      <c r="GG7" s="15">
        <f t="shared" si="20"/>
        <v>0.8522727273</v>
      </c>
      <c r="GH7" s="15">
        <v>70.6</v>
      </c>
      <c r="GI7" s="15" t="s">
        <v>222</v>
      </c>
      <c r="GJ7" s="15" t="s">
        <v>222</v>
      </c>
      <c r="GK7" s="15" t="s">
        <v>222</v>
      </c>
      <c r="GL7" s="15" t="s">
        <v>222</v>
      </c>
      <c r="GM7" s="15" t="s">
        <v>222</v>
      </c>
      <c r="GN7" s="15" t="s">
        <v>222</v>
      </c>
      <c r="GO7" s="15" t="s">
        <v>222</v>
      </c>
      <c r="GP7" s="16">
        <v>44932.0</v>
      </c>
      <c r="GQ7" s="15">
        <v>70.6</v>
      </c>
      <c r="GR7" s="15" t="s">
        <v>222</v>
      </c>
      <c r="GS7" s="15" t="s">
        <v>222</v>
      </c>
      <c r="GT7" s="15" t="s">
        <v>222</v>
      </c>
      <c r="GU7" s="15" t="s">
        <v>222</v>
      </c>
      <c r="GV7" s="15">
        <v>66.2</v>
      </c>
      <c r="GW7" s="15" t="s">
        <v>222</v>
      </c>
      <c r="GX7" s="15" t="s">
        <v>222</v>
      </c>
      <c r="GY7" s="15">
        <v>36.2</v>
      </c>
      <c r="GZ7" s="15" t="s">
        <v>222</v>
      </c>
      <c r="HA7" s="15">
        <v>19.5</v>
      </c>
      <c r="HB7" s="15">
        <v>1.5</v>
      </c>
      <c r="HC7" s="15">
        <v>12.2</v>
      </c>
      <c r="HD7" s="15">
        <v>0.0</v>
      </c>
      <c r="HE7" s="15">
        <v>0.0</v>
      </c>
      <c r="HF7" s="15" t="s">
        <v>222</v>
      </c>
      <c r="HG7" s="15" t="s">
        <v>222</v>
      </c>
      <c r="HH7" s="15">
        <v>73.6</v>
      </c>
      <c r="HI7" s="15" t="s">
        <v>222</v>
      </c>
      <c r="HJ7" s="15">
        <v>35.5</v>
      </c>
      <c r="HK7" s="15" t="s">
        <v>301</v>
      </c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</row>
    <row r="8">
      <c r="A8" s="27" t="s">
        <v>218</v>
      </c>
      <c r="B8" s="15" t="s">
        <v>313</v>
      </c>
      <c r="C8" s="15">
        <v>3.0335948E7</v>
      </c>
      <c r="D8" s="16">
        <v>22976.0</v>
      </c>
      <c r="E8" s="16">
        <v>44880.0</v>
      </c>
      <c r="F8" s="16">
        <v>44894.0</v>
      </c>
      <c r="G8" s="16">
        <v>44881.0</v>
      </c>
      <c r="H8" s="15">
        <f t="shared" si="1"/>
        <v>60.01369863</v>
      </c>
      <c r="I8" s="15">
        <v>0.0</v>
      </c>
      <c r="J8" s="15">
        <f t="shared" si="2"/>
        <v>14</v>
      </c>
      <c r="K8" s="15">
        <v>1.0</v>
      </c>
      <c r="L8" s="15">
        <v>51.0</v>
      </c>
      <c r="M8" s="15">
        <v>1.55</v>
      </c>
      <c r="N8" s="17">
        <f t="shared" si="3"/>
        <v>21.22788762</v>
      </c>
      <c r="O8" s="15">
        <v>2.0</v>
      </c>
      <c r="P8" s="15" t="s">
        <v>314</v>
      </c>
      <c r="Q8" s="15">
        <v>0.0</v>
      </c>
      <c r="R8" s="15">
        <v>0.0</v>
      </c>
      <c r="S8" s="15" t="s">
        <v>222</v>
      </c>
      <c r="T8" s="15">
        <v>0.0</v>
      </c>
      <c r="U8" s="15">
        <v>0.0</v>
      </c>
      <c r="V8" s="15">
        <v>0.0</v>
      </c>
      <c r="W8" s="15">
        <v>1.0</v>
      </c>
      <c r="X8" s="18">
        <v>0.49513888888888885</v>
      </c>
      <c r="Y8" s="18">
        <v>0.717361111111111</v>
      </c>
      <c r="Z8" s="19">
        <f t="shared" si="4"/>
        <v>0.2222222222</v>
      </c>
      <c r="AA8" s="18">
        <f t="shared" si="5"/>
        <v>320</v>
      </c>
      <c r="AB8" s="15">
        <v>2.0</v>
      </c>
      <c r="AC8" s="15">
        <v>0.0</v>
      </c>
      <c r="AD8" s="15" t="s">
        <v>222</v>
      </c>
      <c r="AE8" s="15" t="s">
        <v>222</v>
      </c>
      <c r="AF8" s="15">
        <v>0.0</v>
      </c>
      <c r="AG8" s="15" t="s">
        <v>295</v>
      </c>
      <c r="AH8" s="15" t="s">
        <v>222</v>
      </c>
      <c r="AI8" s="15">
        <v>0.0</v>
      </c>
      <c r="AJ8" s="15">
        <v>1.0</v>
      </c>
      <c r="AK8" s="15">
        <v>0.0</v>
      </c>
      <c r="AL8" s="15" t="s">
        <v>222</v>
      </c>
      <c r="AM8" s="15" t="s">
        <v>222</v>
      </c>
      <c r="AN8" s="15" t="s">
        <v>222</v>
      </c>
      <c r="AO8" s="15">
        <v>0.0</v>
      </c>
      <c r="AP8" s="15" t="s">
        <v>222</v>
      </c>
      <c r="AQ8" s="15" t="s">
        <v>222</v>
      </c>
      <c r="AR8" s="15" t="s">
        <v>222</v>
      </c>
      <c r="AS8" s="15">
        <v>0.0</v>
      </c>
      <c r="AT8" s="15" t="s">
        <v>222</v>
      </c>
      <c r="AU8" s="15" t="s">
        <v>222</v>
      </c>
      <c r="AV8" s="15" t="s">
        <v>222</v>
      </c>
      <c r="AW8" s="15" t="s">
        <v>224</v>
      </c>
      <c r="AX8" s="15" t="s">
        <v>225</v>
      </c>
      <c r="AY8" s="15">
        <v>0.0</v>
      </c>
      <c r="AZ8" s="15">
        <v>1.0</v>
      </c>
      <c r="BA8" s="15">
        <v>2.0</v>
      </c>
      <c r="BB8" s="15" t="s">
        <v>315</v>
      </c>
      <c r="BC8" s="15" t="s">
        <v>222</v>
      </c>
      <c r="BD8" s="15" t="s">
        <v>316</v>
      </c>
      <c r="BE8" s="15">
        <v>0.0</v>
      </c>
      <c r="BF8" s="15">
        <v>3.3</v>
      </c>
      <c r="BG8" s="15">
        <v>2.0</v>
      </c>
      <c r="BH8" s="15">
        <v>1.0</v>
      </c>
      <c r="BI8" s="15">
        <v>0.0</v>
      </c>
      <c r="BJ8" s="15" t="s">
        <v>222</v>
      </c>
      <c r="BK8" s="15" t="s">
        <v>229</v>
      </c>
      <c r="BL8" s="15">
        <v>1.0</v>
      </c>
      <c r="BM8" s="15" t="s">
        <v>317</v>
      </c>
      <c r="BN8" s="15">
        <v>1.0</v>
      </c>
      <c r="BO8" s="15">
        <v>4.0</v>
      </c>
      <c r="BP8" s="15" t="s">
        <v>222</v>
      </c>
      <c r="BQ8" s="15">
        <v>6.0</v>
      </c>
      <c r="BR8" s="15" t="s">
        <v>222</v>
      </c>
      <c r="BS8" s="15">
        <v>0.0</v>
      </c>
      <c r="BT8" s="15" t="s">
        <v>222</v>
      </c>
      <c r="BU8" s="15" t="s">
        <v>222</v>
      </c>
      <c r="BV8" s="15" t="s">
        <v>222</v>
      </c>
      <c r="BW8" s="15">
        <v>1.0</v>
      </c>
      <c r="BX8" s="15">
        <v>1.0</v>
      </c>
      <c r="BY8" s="15">
        <v>18.0</v>
      </c>
      <c r="BZ8" s="15">
        <f t="shared" si="6"/>
        <v>0.05555555556</v>
      </c>
      <c r="CA8" s="15">
        <v>1.0</v>
      </c>
      <c r="CB8" s="15">
        <v>1.0</v>
      </c>
      <c r="CC8" s="15">
        <v>1.0</v>
      </c>
      <c r="CD8" s="15" t="s">
        <v>224</v>
      </c>
      <c r="CE8" s="15">
        <v>1.0</v>
      </c>
      <c r="CF8" s="15" t="s">
        <v>224</v>
      </c>
      <c r="CG8" s="15" t="s">
        <v>222</v>
      </c>
      <c r="CH8" s="15">
        <v>12.5</v>
      </c>
      <c r="CI8" s="15" t="s">
        <v>318</v>
      </c>
      <c r="CJ8" s="15"/>
      <c r="CK8" s="15" t="s">
        <v>319</v>
      </c>
      <c r="CL8" s="15" t="s">
        <v>320</v>
      </c>
      <c r="CM8" s="16">
        <v>44883.0</v>
      </c>
      <c r="CN8" s="15">
        <f>CM8-G8</f>
        <v>2</v>
      </c>
      <c r="CO8" s="15">
        <v>9.7</v>
      </c>
      <c r="CP8" s="15">
        <v>150.0</v>
      </c>
      <c r="CQ8" s="15">
        <v>3.0</v>
      </c>
      <c r="CR8" s="15">
        <v>0.0</v>
      </c>
      <c r="CS8" s="15">
        <v>0.0</v>
      </c>
      <c r="CT8" s="15">
        <v>0.0</v>
      </c>
      <c r="CU8" s="15">
        <v>0.0</v>
      </c>
      <c r="CV8" s="15" t="s">
        <v>321</v>
      </c>
      <c r="CW8" s="16">
        <v>44885.0</v>
      </c>
      <c r="CX8" s="15">
        <v>100.0</v>
      </c>
      <c r="CY8" s="15">
        <f t="shared" si="7"/>
        <v>0.08</v>
      </c>
      <c r="CZ8" s="15">
        <v>4.8</v>
      </c>
      <c r="DA8" s="15">
        <f t="shared" si="8"/>
        <v>0.1466666667</v>
      </c>
      <c r="DB8" s="15">
        <v>8.8</v>
      </c>
      <c r="DC8" s="15">
        <v>0.0</v>
      </c>
      <c r="DD8" s="15">
        <v>0.0</v>
      </c>
      <c r="DE8" s="16">
        <v>44887.0</v>
      </c>
      <c r="DF8" s="15">
        <v>500.0</v>
      </c>
      <c r="DG8" s="15">
        <f t="shared" si="9"/>
        <v>0.05333333333</v>
      </c>
      <c r="DH8" s="15">
        <v>3.2</v>
      </c>
      <c r="DI8" s="15">
        <f t="shared" si="10"/>
        <v>0.1466666667</v>
      </c>
      <c r="DJ8" s="15">
        <v>8.8</v>
      </c>
      <c r="DK8" s="15">
        <v>0.0</v>
      </c>
      <c r="DL8" s="15">
        <v>0.0</v>
      </c>
      <c r="DM8" s="15">
        <v>0.0</v>
      </c>
      <c r="DN8" s="15">
        <v>0.0</v>
      </c>
      <c r="DO8" s="15">
        <v>0.0</v>
      </c>
      <c r="DP8" s="15">
        <v>0.0</v>
      </c>
      <c r="DQ8" s="15">
        <v>0.0</v>
      </c>
      <c r="DR8" s="15">
        <v>0.0</v>
      </c>
      <c r="DS8" s="15" t="s">
        <v>222</v>
      </c>
      <c r="DT8" s="15">
        <v>0.0</v>
      </c>
      <c r="DU8" s="15" t="s">
        <v>222</v>
      </c>
      <c r="DV8" s="15">
        <v>0.0</v>
      </c>
      <c r="DW8" s="15" t="s">
        <v>222</v>
      </c>
      <c r="DX8" s="15">
        <v>0.0</v>
      </c>
      <c r="DY8" s="15" t="s">
        <v>222</v>
      </c>
      <c r="DZ8" s="15">
        <v>0.0</v>
      </c>
      <c r="EA8" s="15">
        <v>0.0</v>
      </c>
      <c r="EB8" s="15">
        <v>0.0</v>
      </c>
      <c r="EC8" s="15">
        <v>0.0</v>
      </c>
      <c r="ED8" s="15">
        <v>0.0</v>
      </c>
      <c r="EE8" s="15" t="s">
        <v>222</v>
      </c>
      <c r="EF8" s="15" t="s">
        <v>222</v>
      </c>
      <c r="EG8" s="15">
        <v>0.0</v>
      </c>
      <c r="EH8" s="15" t="s">
        <v>222</v>
      </c>
      <c r="EI8" s="15">
        <v>0.0</v>
      </c>
      <c r="EJ8" s="15" t="s">
        <v>222</v>
      </c>
      <c r="EK8" s="15" t="s">
        <v>222</v>
      </c>
      <c r="EL8" s="15" t="s">
        <v>222</v>
      </c>
      <c r="EM8" s="15" t="s">
        <v>222</v>
      </c>
      <c r="EN8" s="15">
        <v>0.0</v>
      </c>
      <c r="EO8" s="15" t="s">
        <v>222</v>
      </c>
      <c r="EP8" s="15" t="s">
        <v>222</v>
      </c>
      <c r="EQ8" s="15" t="s">
        <v>222</v>
      </c>
      <c r="ER8" s="16">
        <v>44885.0</v>
      </c>
      <c r="ES8" s="16">
        <v>44987.0</v>
      </c>
      <c r="ET8" s="15">
        <f t="shared" si="11"/>
        <v>4</v>
      </c>
      <c r="EU8" s="15">
        <f t="shared" si="12"/>
        <v>102</v>
      </c>
      <c r="EV8" s="16">
        <v>44888.0</v>
      </c>
      <c r="EW8" s="15">
        <f t="shared" si="13"/>
        <v>7</v>
      </c>
      <c r="EX8" s="15">
        <v>0.0</v>
      </c>
      <c r="EY8" s="15">
        <v>0.0</v>
      </c>
      <c r="EZ8" s="15">
        <v>0.0</v>
      </c>
      <c r="FA8" s="15">
        <v>1.0</v>
      </c>
      <c r="FB8" s="15" t="s">
        <v>236</v>
      </c>
      <c r="FC8" s="20">
        <v>45368.0</v>
      </c>
      <c r="FD8" s="15" t="s">
        <v>222</v>
      </c>
      <c r="FE8" s="15" t="s">
        <v>222</v>
      </c>
      <c r="FF8" s="16" t="str">
        <f t="shared" si="14"/>
        <v>#VALUE!</v>
      </c>
      <c r="FG8" s="15" t="s">
        <v>222</v>
      </c>
      <c r="FH8" s="15">
        <v>0.0</v>
      </c>
      <c r="FI8" s="15" t="s">
        <v>222</v>
      </c>
      <c r="FJ8" s="15" t="s">
        <v>222</v>
      </c>
      <c r="FK8" s="15">
        <f t="shared" si="15"/>
        <v>488</v>
      </c>
      <c r="FL8" s="15">
        <v>0.0</v>
      </c>
      <c r="FM8" s="15" t="s">
        <v>222</v>
      </c>
      <c r="FN8" s="15" t="s">
        <v>222</v>
      </c>
      <c r="FO8" s="16" t="str">
        <f t="shared" si="21"/>
        <v>#VALUE!</v>
      </c>
      <c r="FP8" s="15">
        <v>1.0</v>
      </c>
      <c r="FQ8" s="15" t="s">
        <v>258</v>
      </c>
      <c r="FR8" s="16">
        <v>44911.0</v>
      </c>
      <c r="FS8" s="15">
        <f t="shared" si="16"/>
        <v>30</v>
      </c>
      <c r="FT8" s="15">
        <v>0.0</v>
      </c>
      <c r="FU8" s="15">
        <v>5.0</v>
      </c>
      <c r="FV8" s="15">
        <v>2.0</v>
      </c>
      <c r="FW8" s="15">
        <v>0.0</v>
      </c>
      <c r="FX8" s="15" t="s">
        <v>322</v>
      </c>
      <c r="FY8" s="15">
        <v>17.0</v>
      </c>
      <c r="FZ8" s="15">
        <v>0.96</v>
      </c>
      <c r="GA8" s="15">
        <v>40.0</v>
      </c>
      <c r="GB8" s="15">
        <v>5.4</v>
      </c>
      <c r="GC8" s="15">
        <v>66.0</v>
      </c>
      <c r="GD8" s="15">
        <v>5.0</v>
      </c>
      <c r="GE8" s="15">
        <v>17.5</v>
      </c>
      <c r="GF8" s="15">
        <v>11.0</v>
      </c>
      <c r="GG8" s="15">
        <f t="shared" si="20"/>
        <v>0.8333333333</v>
      </c>
      <c r="GH8" s="15">
        <v>47.0</v>
      </c>
      <c r="GI8" s="15">
        <v>1.17</v>
      </c>
      <c r="GJ8" s="15">
        <v>5.5</v>
      </c>
      <c r="GK8" s="15">
        <v>35.5</v>
      </c>
      <c r="GL8" s="15">
        <v>1.7</v>
      </c>
      <c r="GM8" s="15" t="s">
        <v>222</v>
      </c>
      <c r="GN8" s="15" t="s">
        <v>222</v>
      </c>
      <c r="GO8" s="15" t="s">
        <v>222</v>
      </c>
      <c r="GP8" s="16">
        <v>44911.0</v>
      </c>
      <c r="GQ8" s="15">
        <v>47.0</v>
      </c>
      <c r="GR8" s="15">
        <v>1.17</v>
      </c>
      <c r="GS8" s="15">
        <v>5.5</v>
      </c>
      <c r="GT8" s="15">
        <v>35.5</v>
      </c>
      <c r="GU8" s="15">
        <v>1.7</v>
      </c>
      <c r="GV8" s="15">
        <v>47.0</v>
      </c>
      <c r="GW8" s="15" t="s">
        <v>222</v>
      </c>
      <c r="GX8" s="15" t="s">
        <v>222</v>
      </c>
      <c r="GY8" s="15">
        <v>35.0</v>
      </c>
      <c r="GZ8" s="15" t="s">
        <v>222</v>
      </c>
      <c r="HA8" s="15">
        <v>11.0</v>
      </c>
      <c r="HB8" s="15">
        <v>3.5</v>
      </c>
      <c r="HC8" s="15">
        <v>15.6</v>
      </c>
      <c r="HD8" s="15">
        <v>1.0</v>
      </c>
      <c r="HE8" s="15">
        <v>0.0</v>
      </c>
      <c r="HF8" s="15" t="s">
        <v>222</v>
      </c>
      <c r="HG8" s="15" t="s">
        <v>222</v>
      </c>
      <c r="HH8" s="15" t="s">
        <v>222</v>
      </c>
      <c r="HI8" s="15" t="s">
        <v>222</v>
      </c>
      <c r="HJ8" s="15">
        <v>11.5</v>
      </c>
      <c r="HK8" s="15" t="s">
        <v>301</v>
      </c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</row>
    <row r="9">
      <c r="A9" s="27" t="s">
        <v>218</v>
      </c>
      <c r="B9" s="15" t="s">
        <v>323</v>
      </c>
      <c r="C9" s="15">
        <v>1.2729599E7</v>
      </c>
      <c r="D9" s="16">
        <v>17422.0</v>
      </c>
      <c r="E9" s="16">
        <v>44924.0</v>
      </c>
      <c r="F9" s="16">
        <v>44937.0</v>
      </c>
      <c r="G9" s="16">
        <v>44925.0</v>
      </c>
      <c r="H9" s="15">
        <f t="shared" si="1"/>
        <v>75.35068493</v>
      </c>
      <c r="I9" s="15">
        <v>1.0</v>
      </c>
      <c r="J9" s="15">
        <f t="shared" si="2"/>
        <v>13</v>
      </c>
      <c r="K9" s="15">
        <v>0.0</v>
      </c>
      <c r="L9" s="15">
        <v>74.0</v>
      </c>
      <c r="M9" s="15">
        <v>1.62</v>
      </c>
      <c r="N9" s="17">
        <f t="shared" si="3"/>
        <v>28.1969212</v>
      </c>
      <c r="O9" s="15">
        <v>3.0</v>
      </c>
      <c r="P9" s="15" t="s">
        <v>324</v>
      </c>
      <c r="Q9" s="15">
        <v>0.0</v>
      </c>
      <c r="R9" s="15">
        <v>0.0</v>
      </c>
      <c r="S9" s="15" t="s">
        <v>325</v>
      </c>
      <c r="T9" s="15">
        <v>1.0</v>
      </c>
      <c r="U9" s="15">
        <v>0.0</v>
      </c>
      <c r="V9" s="15">
        <v>0.0</v>
      </c>
      <c r="W9" s="15">
        <v>1.0</v>
      </c>
      <c r="X9" s="18">
        <v>0.4166666666666667</v>
      </c>
      <c r="Y9" s="18">
        <v>0.6270833333333333</v>
      </c>
      <c r="Z9" s="19">
        <f t="shared" si="4"/>
        <v>0.2104166667</v>
      </c>
      <c r="AA9" s="18">
        <f t="shared" si="5"/>
        <v>303</v>
      </c>
      <c r="AB9" s="15">
        <v>2.0</v>
      </c>
      <c r="AC9" s="15">
        <v>0.0</v>
      </c>
      <c r="AD9" s="15" t="s">
        <v>222</v>
      </c>
      <c r="AE9" s="15" t="s">
        <v>222</v>
      </c>
      <c r="AF9" s="15">
        <v>0.0</v>
      </c>
      <c r="AG9" s="15" t="s">
        <v>224</v>
      </c>
      <c r="AH9" s="15" t="s">
        <v>222</v>
      </c>
      <c r="AI9" s="15">
        <v>0.0</v>
      </c>
      <c r="AJ9" s="15">
        <v>1.0</v>
      </c>
      <c r="AK9" s="15">
        <v>0.0</v>
      </c>
      <c r="AL9" s="15" t="s">
        <v>222</v>
      </c>
      <c r="AM9" s="15" t="s">
        <v>222</v>
      </c>
      <c r="AN9" s="15" t="s">
        <v>222</v>
      </c>
      <c r="AO9" s="15">
        <v>0.0</v>
      </c>
      <c r="AP9" s="15" t="s">
        <v>222</v>
      </c>
      <c r="AQ9" s="15"/>
      <c r="AR9" s="15" t="s">
        <v>222</v>
      </c>
      <c r="AS9" s="15">
        <v>0.0</v>
      </c>
      <c r="AT9" s="15" t="s">
        <v>222</v>
      </c>
      <c r="AU9" s="15" t="s">
        <v>222</v>
      </c>
      <c r="AV9" s="15" t="s">
        <v>222</v>
      </c>
      <c r="AW9" s="15" t="s">
        <v>224</v>
      </c>
      <c r="AX9" s="15" t="s">
        <v>225</v>
      </c>
      <c r="AY9" s="15">
        <v>0.0</v>
      </c>
      <c r="AZ9" s="15">
        <v>1.0</v>
      </c>
      <c r="BA9" s="15">
        <v>2.0</v>
      </c>
      <c r="BB9" s="15" t="s">
        <v>222</v>
      </c>
      <c r="BC9" s="15" t="s">
        <v>326</v>
      </c>
      <c r="BD9" s="15" t="s">
        <v>228</v>
      </c>
      <c r="BE9" s="15">
        <v>1.0</v>
      </c>
      <c r="BF9" s="15">
        <v>3.5</v>
      </c>
      <c r="BG9" s="15">
        <v>2.0</v>
      </c>
      <c r="BH9" s="15">
        <v>1.0</v>
      </c>
      <c r="BI9" s="15">
        <v>0.0</v>
      </c>
      <c r="BJ9" s="15" t="s">
        <v>222</v>
      </c>
      <c r="BK9" s="15" t="s">
        <v>229</v>
      </c>
      <c r="BL9" s="15">
        <v>1.0</v>
      </c>
      <c r="BM9" s="15" t="s">
        <v>327</v>
      </c>
      <c r="BN9" s="15">
        <v>1.0</v>
      </c>
      <c r="BO9" s="15">
        <v>4.0</v>
      </c>
      <c r="BP9" s="15" t="s">
        <v>222</v>
      </c>
      <c r="BQ9" s="15" t="s">
        <v>222</v>
      </c>
      <c r="BR9" s="15" t="s">
        <v>222</v>
      </c>
      <c r="BS9" s="15">
        <v>0.0</v>
      </c>
      <c r="BT9" s="15" t="s">
        <v>222</v>
      </c>
      <c r="BU9" s="15" t="s">
        <v>222</v>
      </c>
      <c r="BV9" s="15" t="s">
        <v>222</v>
      </c>
      <c r="BW9" s="15">
        <v>1.0</v>
      </c>
      <c r="BX9" s="15">
        <v>2.0</v>
      </c>
      <c r="BY9" s="15">
        <v>36.0</v>
      </c>
      <c r="BZ9" s="15">
        <f t="shared" si="6"/>
        <v>0.05555555556</v>
      </c>
      <c r="CA9" s="15">
        <v>0.0</v>
      </c>
      <c r="CB9" s="15">
        <v>1.0</v>
      </c>
      <c r="CC9" s="15">
        <v>1.0</v>
      </c>
      <c r="CD9" s="15" t="s">
        <v>224</v>
      </c>
      <c r="CE9" s="15">
        <v>1.0</v>
      </c>
      <c r="CF9" s="15" t="s">
        <v>224</v>
      </c>
      <c r="CG9" s="15">
        <v>19.6</v>
      </c>
      <c r="CH9" s="15">
        <v>14.4</v>
      </c>
      <c r="CI9" s="15" t="s">
        <v>328</v>
      </c>
      <c r="CJ9" s="15"/>
      <c r="CK9" s="15" t="s">
        <v>329</v>
      </c>
      <c r="CL9" s="15" t="s">
        <v>222</v>
      </c>
      <c r="CM9" s="15" t="s">
        <v>222</v>
      </c>
      <c r="CN9" s="15" t="s">
        <v>222</v>
      </c>
      <c r="CO9" s="15">
        <v>12.7</v>
      </c>
      <c r="CP9" s="15">
        <v>600.0</v>
      </c>
      <c r="CQ9" s="15">
        <v>0.0</v>
      </c>
      <c r="CR9" s="15">
        <v>0.0</v>
      </c>
      <c r="CS9" s="15">
        <v>0.0</v>
      </c>
      <c r="CT9" s="15">
        <v>0.0</v>
      </c>
      <c r="CU9" s="15">
        <v>0.0</v>
      </c>
      <c r="CV9" s="15" t="s">
        <v>330</v>
      </c>
      <c r="CW9" s="16">
        <v>44928.0</v>
      </c>
      <c r="CX9" s="15">
        <v>100.0</v>
      </c>
      <c r="CY9" s="15">
        <f t="shared" si="7"/>
        <v>1.055</v>
      </c>
      <c r="CZ9" s="15">
        <v>63.3</v>
      </c>
      <c r="DA9" s="15">
        <f t="shared" si="8"/>
        <v>1.148333333</v>
      </c>
      <c r="DB9" s="15">
        <v>68.9</v>
      </c>
      <c r="DC9" s="15">
        <v>0.0</v>
      </c>
      <c r="DD9" s="15">
        <v>0.0</v>
      </c>
      <c r="DE9" s="16">
        <v>44930.0</v>
      </c>
      <c r="DF9" s="15">
        <v>150.0</v>
      </c>
      <c r="DG9" s="15">
        <f t="shared" si="9"/>
        <v>0.7433333333</v>
      </c>
      <c r="DH9" s="15">
        <v>44.6</v>
      </c>
      <c r="DI9" s="15" t="s">
        <v>222</v>
      </c>
      <c r="DJ9" s="15" t="s">
        <v>222</v>
      </c>
      <c r="DK9" s="15">
        <v>0.0</v>
      </c>
      <c r="DL9" s="15">
        <v>0.0</v>
      </c>
      <c r="DM9" s="15">
        <v>1.0</v>
      </c>
      <c r="DN9" s="15">
        <v>0.0</v>
      </c>
      <c r="DO9" s="15">
        <v>0.0</v>
      </c>
      <c r="DP9" s="15">
        <v>0.0</v>
      </c>
      <c r="DQ9" s="15">
        <v>0.0</v>
      </c>
      <c r="DR9" s="15">
        <v>1.0</v>
      </c>
      <c r="DS9" s="15" t="s">
        <v>331</v>
      </c>
      <c r="DT9" s="15">
        <v>0.0</v>
      </c>
      <c r="DU9" s="15" t="s">
        <v>222</v>
      </c>
      <c r="DV9" s="15">
        <v>0.0</v>
      </c>
      <c r="DW9" s="15" t="s">
        <v>222</v>
      </c>
      <c r="DX9" s="15">
        <v>0.0</v>
      </c>
      <c r="DY9" s="15" t="s">
        <v>222</v>
      </c>
      <c r="DZ9" s="15">
        <v>0.0</v>
      </c>
      <c r="EA9" s="15">
        <v>0.0</v>
      </c>
      <c r="EB9" s="15">
        <v>0.0</v>
      </c>
      <c r="EC9" s="15">
        <v>0.0</v>
      </c>
      <c r="ED9" s="15">
        <v>0.0</v>
      </c>
      <c r="EE9" s="15" t="s">
        <v>222</v>
      </c>
      <c r="EF9" s="15" t="s">
        <v>222</v>
      </c>
      <c r="EG9" s="15">
        <v>0.0</v>
      </c>
      <c r="EH9" s="15" t="s">
        <v>222</v>
      </c>
      <c r="EI9" s="15">
        <v>0.0</v>
      </c>
      <c r="EJ9" s="15" t="s">
        <v>222</v>
      </c>
      <c r="EK9" s="15" t="s">
        <v>222</v>
      </c>
      <c r="EL9" s="15" t="s">
        <v>222</v>
      </c>
      <c r="EM9" s="15" t="s">
        <v>222</v>
      </c>
      <c r="EN9" s="15">
        <v>0.0</v>
      </c>
      <c r="EO9" s="15" t="s">
        <v>222</v>
      </c>
      <c r="EP9" s="15" t="s">
        <v>222</v>
      </c>
      <c r="EQ9" s="15" t="s">
        <v>222</v>
      </c>
      <c r="ER9" s="16">
        <v>44929.0</v>
      </c>
      <c r="ES9" s="16">
        <v>45068.0</v>
      </c>
      <c r="ET9" s="15">
        <f t="shared" si="11"/>
        <v>4</v>
      </c>
      <c r="EU9" s="15">
        <f t="shared" si="12"/>
        <v>139</v>
      </c>
      <c r="EV9" s="16">
        <v>44931.0</v>
      </c>
      <c r="EW9" s="15">
        <f t="shared" si="13"/>
        <v>6</v>
      </c>
      <c r="EX9" s="15">
        <v>0.0</v>
      </c>
      <c r="EY9" s="15">
        <v>0.0</v>
      </c>
      <c r="EZ9" s="15">
        <v>0.0</v>
      </c>
      <c r="FA9" s="15">
        <v>1.0</v>
      </c>
      <c r="FB9" s="15" t="s">
        <v>236</v>
      </c>
      <c r="FC9" s="20">
        <v>45525.0</v>
      </c>
      <c r="FD9" s="15" t="s">
        <v>332</v>
      </c>
      <c r="FE9" s="16">
        <v>45286.0</v>
      </c>
      <c r="FF9" s="15">
        <f t="shared" si="14"/>
        <v>361</v>
      </c>
      <c r="FG9" s="15" t="s">
        <v>333</v>
      </c>
      <c r="FH9" s="15">
        <v>0.0</v>
      </c>
      <c r="FI9" s="15" t="s">
        <v>222</v>
      </c>
      <c r="FJ9" s="15" t="s">
        <v>222</v>
      </c>
      <c r="FK9" s="15">
        <f t="shared" si="15"/>
        <v>601</v>
      </c>
      <c r="FL9" s="15">
        <v>0.0</v>
      </c>
      <c r="FM9" s="15" t="s">
        <v>222</v>
      </c>
      <c r="FN9" s="15" t="s">
        <v>222</v>
      </c>
      <c r="FO9" s="16" t="str">
        <f t="shared" si="21"/>
        <v>#VALUE!</v>
      </c>
      <c r="FP9" s="15">
        <v>1.0</v>
      </c>
      <c r="FQ9" s="15" t="s">
        <v>237</v>
      </c>
      <c r="FR9" s="16">
        <v>44932.0</v>
      </c>
      <c r="FS9" s="15">
        <f t="shared" si="16"/>
        <v>7</v>
      </c>
      <c r="FT9" s="15">
        <v>0.0</v>
      </c>
      <c r="FU9" s="15">
        <v>9.4</v>
      </c>
      <c r="FV9" s="15">
        <v>2.0</v>
      </c>
      <c r="FW9" s="15">
        <v>0.0</v>
      </c>
      <c r="FX9" s="15" t="s">
        <v>334</v>
      </c>
      <c r="FY9" s="15">
        <v>21.0</v>
      </c>
      <c r="FZ9" s="15">
        <v>1.12</v>
      </c>
      <c r="GA9" s="15">
        <v>38.5</v>
      </c>
      <c r="GB9" s="15">
        <v>6.0</v>
      </c>
      <c r="GC9" s="15">
        <v>62.0</v>
      </c>
      <c r="GD9" s="15">
        <v>9.4</v>
      </c>
      <c r="GE9" s="15">
        <v>13.6</v>
      </c>
      <c r="GF9" s="15">
        <v>14.8</v>
      </c>
      <c r="GG9" s="15">
        <f t="shared" si="20"/>
        <v>0.7612903226</v>
      </c>
      <c r="GH9" s="15">
        <v>75.4</v>
      </c>
      <c r="GI9" s="15" t="s">
        <v>222</v>
      </c>
      <c r="GJ9" s="15" t="s">
        <v>222</v>
      </c>
      <c r="GK9" s="15">
        <v>24.0</v>
      </c>
      <c r="GL9" s="15">
        <v>3.0</v>
      </c>
      <c r="GM9" s="15">
        <v>14.8</v>
      </c>
      <c r="GN9" s="15">
        <v>1.5</v>
      </c>
      <c r="GO9" s="15">
        <v>15.3</v>
      </c>
      <c r="GP9" s="16">
        <v>44956.0</v>
      </c>
      <c r="GQ9" s="15">
        <v>75.5</v>
      </c>
      <c r="GR9" s="15" t="s">
        <v>222</v>
      </c>
      <c r="GS9" s="15" t="s">
        <v>222</v>
      </c>
      <c r="GT9" s="15">
        <v>24.0</v>
      </c>
      <c r="GU9" s="15">
        <v>3.0</v>
      </c>
      <c r="GV9" s="15">
        <v>70.5</v>
      </c>
      <c r="GW9" s="15" t="s">
        <v>222</v>
      </c>
      <c r="GX9" s="15" t="s">
        <v>222</v>
      </c>
      <c r="GY9" s="15">
        <v>37.5</v>
      </c>
      <c r="GZ9" s="15" t="s">
        <v>222</v>
      </c>
      <c r="HA9" s="15">
        <v>14.0</v>
      </c>
      <c r="HB9" s="15">
        <v>2.8</v>
      </c>
      <c r="HC9" s="15">
        <v>14.0</v>
      </c>
      <c r="HD9" s="15">
        <v>0.0</v>
      </c>
      <c r="HE9" s="15">
        <v>0.0</v>
      </c>
      <c r="HF9" s="15" t="s">
        <v>222</v>
      </c>
      <c r="HG9" s="15" t="s">
        <v>222</v>
      </c>
      <c r="HH9" s="15">
        <v>71.4</v>
      </c>
      <c r="HI9" s="15">
        <v>32.4</v>
      </c>
      <c r="HJ9" s="15" t="s">
        <v>222</v>
      </c>
      <c r="HK9" s="15" t="s">
        <v>335</v>
      </c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</row>
    <row r="10">
      <c r="A10" s="27" t="s">
        <v>218</v>
      </c>
      <c r="B10" s="15" t="s">
        <v>336</v>
      </c>
      <c r="C10" s="15">
        <v>3.0385345E7</v>
      </c>
      <c r="D10" s="16">
        <v>17274.0</v>
      </c>
      <c r="E10" s="16">
        <v>44949.0</v>
      </c>
      <c r="F10" s="16">
        <v>44960.0</v>
      </c>
      <c r="G10" s="16">
        <v>44950.0</v>
      </c>
      <c r="H10" s="15">
        <f t="shared" si="1"/>
        <v>75.82465753</v>
      </c>
      <c r="I10" s="15">
        <v>1.0</v>
      </c>
      <c r="J10" s="15">
        <f t="shared" si="2"/>
        <v>11</v>
      </c>
      <c r="K10" s="15">
        <v>0.0</v>
      </c>
      <c r="L10" s="15">
        <v>80.0</v>
      </c>
      <c r="M10" s="15">
        <v>1.69</v>
      </c>
      <c r="N10" s="17">
        <f t="shared" si="3"/>
        <v>28.01022373</v>
      </c>
      <c r="O10" s="15">
        <v>2.0</v>
      </c>
      <c r="P10" s="15" t="s">
        <v>337</v>
      </c>
      <c r="Q10" s="15">
        <v>0.0</v>
      </c>
      <c r="R10" s="15">
        <v>0.0</v>
      </c>
      <c r="S10" s="15" t="s">
        <v>338</v>
      </c>
      <c r="T10" s="15">
        <v>0.0</v>
      </c>
      <c r="U10" s="15">
        <v>1.0</v>
      </c>
      <c r="V10" s="15">
        <v>0.0</v>
      </c>
      <c r="W10" s="15">
        <v>1.0</v>
      </c>
      <c r="X10" s="18">
        <v>0.50625</v>
      </c>
      <c r="Y10" s="18">
        <v>0.7013888888888888</v>
      </c>
      <c r="Z10" s="19">
        <f t="shared" si="4"/>
        <v>0.1951388889</v>
      </c>
      <c r="AA10" s="18">
        <f t="shared" si="5"/>
        <v>281</v>
      </c>
      <c r="AB10" s="15">
        <v>2.0</v>
      </c>
      <c r="AC10" s="15">
        <v>0.0</v>
      </c>
      <c r="AD10" s="15" t="s">
        <v>222</v>
      </c>
      <c r="AE10" s="15" t="s">
        <v>222</v>
      </c>
      <c r="AF10" s="15">
        <v>0.0</v>
      </c>
      <c r="AG10" s="15" t="s">
        <v>339</v>
      </c>
      <c r="AH10" s="15" t="s">
        <v>340</v>
      </c>
      <c r="AI10" s="15">
        <v>0.0</v>
      </c>
      <c r="AJ10" s="15">
        <v>1.0</v>
      </c>
      <c r="AK10" s="15">
        <v>0.0</v>
      </c>
      <c r="AL10" s="15" t="s">
        <v>222</v>
      </c>
      <c r="AM10" s="15" t="s">
        <v>222</v>
      </c>
      <c r="AN10" s="15" t="s">
        <v>222</v>
      </c>
      <c r="AO10" s="15">
        <v>0.0</v>
      </c>
      <c r="AP10" s="15" t="s">
        <v>222</v>
      </c>
      <c r="AQ10" s="15" t="s">
        <v>222</v>
      </c>
      <c r="AR10" s="15" t="s">
        <v>222</v>
      </c>
      <c r="AS10" s="15">
        <v>0.0</v>
      </c>
      <c r="AT10" s="15" t="s">
        <v>222</v>
      </c>
      <c r="AU10" s="15" t="s">
        <v>222</v>
      </c>
      <c r="AV10" s="15" t="s">
        <v>222</v>
      </c>
      <c r="AW10" s="15" t="s">
        <v>341</v>
      </c>
      <c r="AX10" s="15" t="s">
        <v>225</v>
      </c>
      <c r="AY10" s="15">
        <v>0.0</v>
      </c>
      <c r="AZ10" s="15">
        <v>1.0</v>
      </c>
      <c r="BA10" s="15">
        <v>2.0</v>
      </c>
      <c r="BB10" s="15" t="s">
        <v>342</v>
      </c>
      <c r="BC10" s="15" t="s">
        <v>222</v>
      </c>
      <c r="BD10" s="15" t="s">
        <v>228</v>
      </c>
      <c r="BE10" s="15" t="s">
        <v>222</v>
      </c>
      <c r="BF10" s="15">
        <v>8.0</v>
      </c>
      <c r="BG10" s="15">
        <v>3.0</v>
      </c>
      <c r="BH10" s="15">
        <v>1.0</v>
      </c>
      <c r="BI10" s="15">
        <v>0.0</v>
      </c>
      <c r="BJ10" s="15" t="s">
        <v>222</v>
      </c>
      <c r="BK10" s="15" t="s">
        <v>229</v>
      </c>
      <c r="BL10" s="15">
        <v>1.0</v>
      </c>
      <c r="BM10" s="15" t="s">
        <v>343</v>
      </c>
      <c r="BN10" s="15">
        <v>1.0</v>
      </c>
      <c r="BO10" s="15">
        <v>3.0</v>
      </c>
      <c r="BP10" s="15" t="s">
        <v>222</v>
      </c>
      <c r="BQ10" s="15" t="s">
        <v>222</v>
      </c>
      <c r="BR10" s="15" t="s">
        <v>222</v>
      </c>
      <c r="BS10" s="15">
        <v>1.0</v>
      </c>
      <c r="BT10" s="15">
        <v>2.0</v>
      </c>
      <c r="BU10" s="15">
        <v>1.0</v>
      </c>
      <c r="BV10" s="15">
        <v>2.0</v>
      </c>
      <c r="BW10" s="15">
        <v>1.0</v>
      </c>
      <c r="BX10" s="15">
        <v>1.0</v>
      </c>
      <c r="BY10" s="15">
        <v>34.0</v>
      </c>
      <c r="BZ10" s="15">
        <f t="shared" si="6"/>
        <v>0.02941176471</v>
      </c>
      <c r="CA10" s="15">
        <v>0.0</v>
      </c>
      <c r="CB10" s="15">
        <v>0.0</v>
      </c>
      <c r="CC10" s="15">
        <v>1.0</v>
      </c>
      <c r="CD10" s="15" t="s">
        <v>344</v>
      </c>
      <c r="CE10" s="15">
        <v>1.0</v>
      </c>
      <c r="CF10" s="15" t="s">
        <v>344</v>
      </c>
      <c r="CG10" s="15">
        <v>7.0</v>
      </c>
      <c r="CH10" s="15">
        <v>13.2</v>
      </c>
      <c r="CI10" s="15" t="s">
        <v>345</v>
      </c>
      <c r="CJ10" s="15">
        <v>17.0</v>
      </c>
      <c r="CK10" s="15" t="s">
        <v>346</v>
      </c>
      <c r="CL10" s="15" t="s">
        <v>234</v>
      </c>
      <c r="CM10" s="16">
        <v>44952.0</v>
      </c>
      <c r="CN10" s="15">
        <f>CM10-G10</f>
        <v>2</v>
      </c>
      <c r="CO10" s="15">
        <v>11.3</v>
      </c>
      <c r="CP10" s="15">
        <v>800.0</v>
      </c>
      <c r="CQ10" s="15">
        <v>0.0</v>
      </c>
      <c r="CR10" s="15">
        <v>0.0</v>
      </c>
      <c r="CS10" s="15">
        <v>0.0</v>
      </c>
      <c r="CT10" s="15">
        <v>0.0</v>
      </c>
      <c r="CU10" s="15">
        <v>0.0</v>
      </c>
      <c r="CV10" s="15" t="s">
        <v>347</v>
      </c>
      <c r="CW10" s="16">
        <v>44953.0</v>
      </c>
      <c r="CX10" s="15">
        <v>100.0</v>
      </c>
      <c r="CY10" s="15">
        <f t="shared" si="7"/>
        <v>0.7266666667</v>
      </c>
      <c r="CZ10" s="15">
        <v>43.6</v>
      </c>
      <c r="DA10" s="15">
        <f t="shared" si="8"/>
        <v>1.35</v>
      </c>
      <c r="DB10" s="15">
        <v>81.0</v>
      </c>
      <c r="DC10" s="15">
        <v>0.0</v>
      </c>
      <c r="DD10" s="15">
        <v>0.0</v>
      </c>
      <c r="DE10" s="16">
        <v>44955.0</v>
      </c>
      <c r="DF10" s="15">
        <v>150.0</v>
      </c>
      <c r="DG10" s="15">
        <f t="shared" si="9"/>
        <v>0.4066666667</v>
      </c>
      <c r="DH10" s="15">
        <v>24.4</v>
      </c>
      <c r="DI10" s="15">
        <f t="shared" ref="DI10:DI18" si="22">DJ10/60</f>
        <v>0.9116666667</v>
      </c>
      <c r="DJ10" s="15">
        <v>54.7</v>
      </c>
      <c r="DK10" s="15">
        <v>0.0</v>
      </c>
      <c r="DL10" s="15">
        <v>0.0</v>
      </c>
      <c r="DM10" s="15">
        <v>1.0</v>
      </c>
      <c r="DN10" s="15">
        <v>0.0</v>
      </c>
      <c r="DO10" s="15">
        <v>0.0</v>
      </c>
      <c r="DP10" s="15">
        <v>0.0</v>
      </c>
      <c r="DQ10" s="15">
        <v>0.0</v>
      </c>
      <c r="DR10" s="15">
        <v>1.0</v>
      </c>
      <c r="DS10" s="15" t="s">
        <v>253</v>
      </c>
      <c r="DT10" s="15">
        <v>0.0</v>
      </c>
      <c r="DU10" s="15" t="s">
        <v>222</v>
      </c>
      <c r="DV10" s="15">
        <v>0.0</v>
      </c>
      <c r="DW10" s="15" t="s">
        <v>222</v>
      </c>
      <c r="DX10" s="15">
        <v>0.0</v>
      </c>
      <c r="DY10" s="15" t="s">
        <v>222</v>
      </c>
      <c r="DZ10" s="15">
        <v>0.0</v>
      </c>
      <c r="EA10" s="15">
        <v>0.0</v>
      </c>
      <c r="EB10" s="15">
        <v>0.0</v>
      </c>
      <c r="EC10" s="15">
        <v>0.0</v>
      </c>
      <c r="ED10" s="15">
        <v>0.0</v>
      </c>
      <c r="EE10" s="15" t="s">
        <v>255</v>
      </c>
      <c r="EF10" s="16">
        <v>44958.0</v>
      </c>
      <c r="EG10" s="15">
        <v>0.0</v>
      </c>
      <c r="EH10" s="15">
        <f>EF10-G10</f>
        <v>8</v>
      </c>
      <c r="EI10" s="15">
        <v>0.0</v>
      </c>
      <c r="EJ10" s="15" t="s">
        <v>222</v>
      </c>
      <c r="EK10" s="15" t="s">
        <v>222</v>
      </c>
      <c r="EL10" s="15" t="s">
        <v>222</v>
      </c>
      <c r="EM10" s="15" t="s">
        <v>222</v>
      </c>
      <c r="EN10" s="15">
        <v>0.0</v>
      </c>
      <c r="EO10" s="15" t="s">
        <v>222</v>
      </c>
      <c r="EP10" s="15" t="s">
        <v>222</v>
      </c>
      <c r="EQ10" s="15" t="s">
        <v>222</v>
      </c>
      <c r="ER10" s="16">
        <v>44953.0</v>
      </c>
      <c r="ES10" s="16">
        <v>45000.0</v>
      </c>
      <c r="ET10" s="15">
        <f t="shared" si="11"/>
        <v>3</v>
      </c>
      <c r="EU10" s="15">
        <f t="shared" si="12"/>
        <v>47</v>
      </c>
      <c r="EV10" s="16">
        <v>44953.0</v>
      </c>
      <c r="EW10" s="15">
        <f t="shared" si="13"/>
        <v>3</v>
      </c>
      <c r="EX10" s="15">
        <v>0.0</v>
      </c>
      <c r="EY10" s="15">
        <v>0.0</v>
      </c>
      <c r="EZ10" s="15">
        <v>0.0</v>
      </c>
      <c r="FA10" s="15">
        <v>1.0</v>
      </c>
      <c r="FB10" s="15" t="s">
        <v>236</v>
      </c>
      <c r="FC10" s="20">
        <v>45397.0</v>
      </c>
      <c r="FD10" s="15" t="s">
        <v>222</v>
      </c>
      <c r="FE10" s="15" t="s">
        <v>222</v>
      </c>
      <c r="FF10" s="16" t="str">
        <f t="shared" si="14"/>
        <v>#VALUE!</v>
      </c>
      <c r="FG10" s="15" t="s">
        <v>222</v>
      </c>
      <c r="FH10" s="15">
        <v>0.0</v>
      </c>
      <c r="FI10" s="15" t="s">
        <v>222</v>
      </c>
      <c r="FJ10" s="15" t="s">
        <v>222</v>
      </c>
      <c r="FK10" s="15">
        <f t="shared" si="15"/>
        <v>448</v>
      </c>
      <c r="FL10" s="15">
        <v>1.0</v>
      </c>
      <c r="FM10" s="15" t="s">
        <v>348</v>
      </c>
      <c r="FN10" s="16">
        <v>44951.0</v>
      </c>
      <c r="FO10" s="15">
        <f t="shared" si="21"/>
        <v>1</v>
      </c>
      <c r="FP10" s="15">
        <v>1.0</v>
      </c>
      <c r="FQ10" s="15" t="s">
        <v>237</v>
      </c>
      <c r="FR10" s="16">
        <v>44957.0</v>
      </c>
      <c r="FS10" s="15">
        <f t="shared" si="16"/>
        <v>7</v>
      </c>
      <c r="FT10" s="15">
        <v>0.0</v>
      </c>
      <c r="FU10" s="15">
        <v>9.6</v>
      </c>
      <c r="FV10" s="15">
        <v>2.0</v>
      </c>
      <c r="FW10" s="15">
        <v>0.0</v>
      </c>
      <c r="FX10" s="15" t="s">
        <v>349</v>
      </c>
      <c r="FY10" s="15">
        <v>21.0</v>
      </c>
      <c r="FZ10" s="15" t="s">
        <v>222</v>
      </c>
      <c r="GA10" s="15">
        <v>36.1</v>
      </c>
      <c r="GB10" s="15" t="s">
        <v>222</v>
      </c>
      <c r="GC10" s="15">
        <v>82.0</v>
      </c>
      <c r="GD10" s="15">
        <v>9.6</v>
      </c>
      <c r="GE10" s="15">
        <v>19.0</v>
      </c>
      <c r="GF10" s="15">
        <v>16.0</v>
      </c>
      <c r="GG10" s="15">
        <f t="shared" si="20"/>
        <v>0.8048780488</v>
      </c>
      <c r="GH10" s="15">
        <v>78.5</v>
      </c>
      <c r="GI10" s="15" t="s">
        <v>222</v>
      </c>
      <c r="GJ10" s="15">
        <v>8.6</v>
      </c>
      <c r="GK10" s="15">
        <v>31.0</v>
      </c>
      <c r="GL10" s="15">
        <v>9.7</v>
      </c>
      <c r="GM10" s="15">
        <v>16.0</v>
      </c>
      <c r="GN10" s="15">
        <v>4.0</v>
      </c>
      <c r="GO10" s="15">
        <v>11.5</v>
      </c>
      <c r="GP10" s="16">
        <v>45000.0</v>
      </c>
      <c r="GQ10" s="15">
        <v>78.5</v>
      </c>
      <c r="GR10" s="15" t="s">
        <v>222</v>
      </c>
      <c r="GS10" s="15">
        <v>8.6</v>
      </c>
      <c r="GT10" s="15">
        <v>31.0</v>
      </c>
      <c r="GU10" s="15">
        <v>9.7</v>
      </c>
      <c r="GV10" s="15" t="s">
        <v>222</v>
      </c>
      <c r="GW10" s="15" t="s">
        <v>222</v>
      </c>
      <c r="GX10" s="15" t="s">
        <v>222</v>
      </c>
      <c r="GY10" s="15">
        <v>25.0</v>
      </c>
      <c r="GZ10" s="15" t="s">
        <v>222</v>
      </c>
      <c r="HA10" s="15" t="s">
        <v>222</v>
      </c>
      <c r="HB10" s="15" t="s">
        <v>222</v>
      </c>
      <c r="HC10" s="15" t="s">
        <v>222</v>
      </c>
      <c r="HD10" s="15" t="s">
        <v>222</v>
      </c>
      <c r="HE10" s="15">
        <v>0.0</v>
      </c>
      <c r="HF10" s="15">
        <v>69.6</v>
      </c>
      <c r="HG10" s="15">
        <v>122.0</v>
      </c>
      <c r="HH10" s="15">
        <v>79.5</v>
      </c>
      <c r="HI10" s="15" t="s">
        <v>222</v>
      </c>
      <c r="HJ10" s="15">
        <v>29.6</v>
      </c>
      <c r="HK10" s="15" t="s">
        <v>301</v>
      </c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</row>
    <row r="11">
      <c r="A11" s="27" t="s">
        <v>218</v>
      </c>
      <c r="B11" s="15" t="s">
        <v>350</v>
      </c>
      <c r="C11" s="15">
        <v>3.0175193E7</v>
      </c>
      <c r="D11" s="16">
        <v>16538.0</v>
      </c>
      <c r="E11" s="16">
        <v>44963.0</v>
      </c>
      <c r="F11" s="16">
        <v>44988.0</v>
      </c>
      <c r="G11" s="16">
        <v>44964.0</v>
      </c>
      <c r="H11" s="15">
        <f t="shared" si="1"/>
        <v>77.87945205</v>
      </c>
      <c r="I11" s="15">
        <v>1.0</v>
      </c>
      <c r="J11" s="15">
        <f t="shared" si="2"/>
        <v>25</v>
      </c>
      <c r="K11" s="15">
        <v>0.0</v>
      </c>
      <c r="L11" s="15">
        <v>78.0</v>
      </c>
      <c r="M11" s="15">
        <v>1.77</v>
      </c>
      <c r="N11" s="17">
        <f t="shared" si="3"/>
        <v>24.89706023</v>
      </c>
      <c r="O11" s="15">
        <v>2.0</v>
      </c>
      <c r="P11" s="15" t="s">
        <v>351</v>
      </c>
      <c r="Q11" s="15">
        <v>0.0</v>
      </c>
      <c r="R11" s="15">
        <v>1.0</v>
      </c>
      <c r="S11" s="15" t="s">
        <v>222</v>
      </c>
      <c r="T11" s="15">
        <v>1.0</v>
      </c>
      <c r="U11" s="15">
        <v>0.0</v>
      </c>
      <c r="V11" s="15">
        <v>0.0</v>
      </c>
      <c r="W11" s="15">
        <v>1.0</v>
      </c>
      <c r="X11" s="18">
        <v>0.6680555555555556</v>
      </c>
      <c r="Y11" s="18">
        <v>0.8402777777777778</v>
      </c>
      <c r="Z11" s="19">
        <f t="shared" si="4"/>
        <v>0.1722222222</v>
      </c>
      <c r="AA11" s="18">
        <f t="shared" si="5"/>
        <v>248</v>
      </c>
      <c r="AB11" s="15">
        <v>2.0</v>
      </c>
      <c r="AC11" s="15">
        <v>0.0</v>
      </c>
      <c r="AD11" s="15" t="s">
        <v>222</v>
      </c>
      <c r="AE11" s="15" t="s">
        <v>222</v>
      </c>
      <c r="AF11" s="15" t="s">
        <v>352</v>
      </c>
      <c r="AG11" s="15" t="s">
        <v>295</v>
      </c>
      <c r="AH11" s="15" t="s">
        <v>222</v>
      </c>
      <c r="AI11" s="15">
        <v>0.0</v>
      </c>
      <c r="AJ11" s="15">
        <v>1.0</v>
      </c>
      <c r="AK11" s="15">
        <v>1.0</v>
      </c>
      <c r="AL11" s="15">
        <v>0.0</v>
      </c>
      <c r="AM11" s="15">
        <v>1.5</v>
      </c>
      <c r="AN11" s="15" t="s">
        <v>222</v>
      </c>
      <c r="AO11" s="15">
        <v>0.0</v>
      </c>
      <c r="AP11" s="15" t="s">
        <v>222</v>
      </c>
      <c r="AQ11" s="15" t="s">
        <v>222</v>
      </c>
      <c r="AR11" s="15" t="s">
        <v>222</v>
      </c>
      <c r="AS11" s="15">
        <v>0.0</v>
      </c>
      <c r="AT11" s="15" t="s">
        <v>222</v>
      </c>
      <c r="AU11" s="15" t="s">
        <v>222</v>
      </c>
      <c r="AV11" s="15" t="s">
        <v>222</v>
      </c>
      <c r="AW11" s="15" t="s">
        <v>353</v>
      </c>
      <c r="AX11" s="15" t="s">
        <v>225</v>
      </c>
      <c r="AY11" s="15">
        <v>0.0</v>
      </c>
      <c r="AZ11" s="15">
        <v>1.0</v>
      </c>
      <c r="BA11" s="15">
        <v>2.0</v>
      </c>
      <c r="BB11" s="15" t="s">
        <v>354</v>
      </c>
      <c r="BC11" s="15" t="s">
        <v>355</v>
      </c>
      <c r="BD11" s="15" t="s">
        <v>228</v>
      </c>
      <c r="BE11" s="15" t="s">
        <v>222</v>
      </c>
      <c r="BF11" s="15">
        <v>3.0</v>
      </c>
      <c r="BG11" s="15">
        <v>2.0</v>
      </c>
      <c r="BH11" s="15">
        <v>0.0</v>
      </c>
      <c r="BI11" s="15">
        <v>0.0</v>
      </c>
      <c r="BJ11" s="15" t="s">
        <v>222</v>
      </c>
      <c r="BK11" s="15">
        <v>2.0</v>
      </c>
      <c r="BL11" s="15">
        <v>1.0</v>
      </c>
      <c r="BM11" s="15" t="s">
        <v>356</v>
      </c>
      <c r="BN11" s="15">
        <v>1.0</v>
      </c>
      <c r="BO11" s="15">
        <v>4.0</v>
      </c>
      <c r="BP11" s="15" t="s">
        <v>222</v>
      </c>
      <c r="BQ11" s="15" t="s">
        <v>222</v>
      </c>
      <c r="BR11" s="15" t="s">
        <v>222</v>
      </c>
      <c r="BS11" s="15">
        <v>0.0</v>
      </c>
      <c r="BT11" s="15" t="s">
        <v>222</v>
      </c>
      <c r="BU11" s="15" t="s">
        <v>222</v>
      </c>
      <c r="BV11" s="15" t="s">
        <v>222</v>
      </c>
      <c r="BW11" s="15">
        <v>0.0</v>
      </c>
      <c r="BX11" s="15">
        <v>0.0</v>
      </c>
      <c r="BY11" s="15">
        <v>37.0</v>
      </c>
      <c r="BZ11" s="15">
        <f t="shared" si="6"/>
        <v>0</v>
      </c>
      <c r="CA11" s="15">
        <v>0.0</v>
      </c>
      <c r="CB11" s="15">
        <v>1.0</v>
      </c>
      <c r="CC11" s="15">
        <v>1.0</v>
      </c>
      <c r="CD11" s="15" t="s">
        <v>357</v>
      </c>
      <c r="CE11" s="15">
        <v>1.0</v>
      </c>
      <c r="CF11" s="15" t="s">
        <v>358</v>
      </c>
      <c r="CG11" s="15">
        <v>6.0</v>
      </c>
      <c r="CH11" s="15">
        <v>13.5</v>
      </c>
      <c r="CI11" s="15" t="s">
        <v>359</v>
      </c>
      <c r="CJ11" s="15" t="s">
        <v>360</v>
      </c>
      <c r="CK11" s="15" t="s">
        <v>361</v>
      </c>
      <c r="CL11" s="15" t="s">
        <v>222</v>
      </c>
      <c r="CM11" s="15">
        <v>0.0</v>
      </c>
      <c r="CN11" s="15">
        <v>0.0</v>
      </c>
      <c r="CO11" s="15">
        <v>12.9</v>
      </c>
      <c r="CP11" s="15">
        <v>500.0</v>
      </c>
      <c r="CQ11" s="15">
        <v>1.0</v>
      </c>
      <c r="CR11" s="15">
        <v>0.0</v>
      </c>
      <c r="CS11" s="15">
        <v>0.0</v>
      </c>
      <c r="CT11" s="15">
        <v>0.0</v>
      </c>
      <c r="CU11" s="15">
        <v>0.0</v>
      </c>
      <c r="CV11" s="15" t="s">
        <v>285</v>
      </c>
      <c r="CW11" s="16">
        <v>44967.0</v>
      </c>
      <c r="CX11" s="15">
        <v>60.0</v>
      </c>
      <c r="CY11" s="15">
        <f t="shared" si="7"/>
        <v>2.566666667</v>
      </c>
      <c r="CZ11" s="15">
        <v>154.0</v>
      </c>
      <c r="DA11" s="15">
        <f t="shared" si="8"/>
        <v>0.865</v>
      </c>
      <c r="DB11" s="15">
        <v>51.9</v>
      </c>
      <c r="DC11" s="15">
        <v>0.0</v>
      </c>
      <c r="DD11" s="15">
        <v>0.0</v>
      </c>
      <c r="DE11" s="16">
        <v>44969.0</v>
      </c>
      <c r="DF11" s="15">
        <v>500.0</v>
      </c>
      <c r="DG11" s="15">
        <f t="shared" si="9"/>
        <v>0.2366666667</v>
      </c>
      <c r="DH11" s="15">
        <v>14.2</v>
      </c>
      <c r="DI11" s="15">
        <f t="shared" si="22"/>
        <v>0.4066666667</v>
      </c>
      <c r="DJ11" s="15">
        <v>24.4</v>
      </c>
      <c r="DK11" s="15">
        <v>0.0</v>
      </c>
      <c r="DL11" s="15">
        <v>0.0</v>
      </c>
      <c r="DM11" s="15">
        <v>1.0</v>
      </c>
      <c r="DN11" s="15">
        <v>0.0</v>
      </c>
      <c r="DO11" s="15">
        <v>0.0</v>
      </c>
      <c r="DP11" s="15">
        <v>0.0</v>
      </c>
      <c r="DQ11" s="15">
        <v>1.0</v>
      </c>
      <c r="DR11" s="15">
        <v>0.0</v>
      </c>
      <c r="DS11" s="15" t="s">
        <v>222</v>
      </c>
      <c r="DT11" s="15">
        <v>0.0</v>
      </c>
      <c r="DU11" s="15" t="s">
        <v>222</v>
      </c>
      <c r="DV11" s="15">
        <v>0.0</v>
      </c>
      <c r="DW11" s="15" t="s">
        <v>222</v>
      </c>
      <c r="DX11" s="15">
        <v>0.0</v>
      </c>
      <c r="DY11" s="15" t="s">
        <v>222</v>
      </c>
      <c r="DZ11" s="15">
        <v>0.0</v>
      </c>
      <c r="EA11" s="15">
        <v>0.0</v>
      </c>
      <c r="EB11" s="15">
        <v>0.0</v>
      </c>
      <c r="EC11" s="15">
        <v>0.0</v>
      </c>
      <c r="ED11" s="15">
        <v>0.0</v>
      </c>
      <c r="EE11" s="15" t="s">
        <v>222</v>
      </c>
      <c r="EF11" s="15" t="s">
        <v>222</v>
      </c>
      <c r="EG11" s="15">
        <v>0.0</v>
      </c>
      <c r="EH11" s="15" t="s">
        <v>222</v>
      </c>
      <c r="EI11" s="15">
        <v>1.0</v>
      </c>
      <c r="EJ11" s="16">
        <v>44967.0</v>
      </c>
      <c r="EK11" s="16">
        <v>44974.0</v>
      </c>
      <c r="EL11" s="15">
        <f>EK11-EJ11</f>
        <v>7</v>
      </c>
      <c r="EM11" s="15">
        <v>0.0</v>
      </c>
      <c r="EN11" s="15">
        <v>1.0</v>
      </c>
      <c r="EO11" s="16">
        <v>44978.0</v>
      </c>
      <c r="EP11" s="15" t="s">
        <v>362</v>
      </c>
      <c r="EQ11" s="15">
        <v>0.0</v>
      </c>
      <c r="ER11" s="16">
        <v>44967.0</v>
      </c>
      <c r="ES11" s="16">
        <v>45110.0</v>
      </c>
      <c r="ET11" s="15">
        <f t="shared" si="11"/>
        <v>3</v>
      </c>
      <c r="EU11" s="15">
        <f t="shared" si="12"/>
        <v>143</v>
      </c>
      <c r="EV11" s="16">
        <v>44983.0</v>
      </c>
      <c r="EW11" s="15">
        <f t="shared" si="13"/>
        <v>19</v>
      </c>
      <c r="EX11" s="15">
        <v>2.0</v>
      </c>
      <c r="EY11" s="15">
        <v>0.0</v>
      </c>
      <c r="EZ11" s="15">
        <v>0.0</v>
      </c>
      <c r="FA11" s="15">
        <v>1.0</v>
      </c>
      <c r="FB11" s="15" t="s">
        <v>236</v>
      </c>
      <c r="FC11" s="20">
        <v>45349.0</v>
      </c>
      <c r="FD11" s="15">
        <v>2.0</v>
      </c>
      <c r="FE11" s="16">
        <v>45225.0</v>
      </c>
      <c r="FF11" s="15">
        <f t="shared" si="14"/>
        <v>261</v>
      </c>
      <c r="FG11" s="15" t="s">
        <v>363</v>
      </c>
      <c r="FH11" s="15">
        <v>1.0</v>
      </c>
      <c r="FI11" s="16">
        <v>45349.0</v>
      </c>
      <c r="FJ11" s="15" t="s">
        <v>364</v>
      </c>
      <c r="FK11" s="15">
        <f t="shared" si="15"/>
        <v>386</v>
      </c>
      <c r="FL11" s="15">
        <v>0.0</v>
      </c>
      <c r="FM11" s="15" t="s">
        <v>222</v>
      </c>
      <c r="FN11" s="15" t="s">
        <v>222</v>
      </c>
      <c r="FO11" s="16" t="str">
        <f t="shared" si="21"/>
        <v>#VALUE!</v>
      </c>
      <c r="FP11" s="15">
        <v>1.0</v>
      </c>
      <c r="FQ11" s="15" t="s">
        <v>365</v>
      </c>
      <c r="FR11" s="16">
        <v>45016.0</v>
      </c>
      <c r="FS11" s="15">
        <f t="shared" si="16"/>
        <v>52</v>
      </c>
      <c r="FT11" s="15">
        <v>0.0</v>
      </c>
      <c r="FU11" s="15">
        <v>5.0</v>
      </c>
      <c r="FV11" s="15">
        <v>2.0</v>
      </c>
      <c r="FW11" s="15">
        <v>0.0</v>
      </c>
      <c r="FX11" s="15" t="s">
        <v>366</v>
      </c>
      <c r="FY11" s="15">
        <v>31.0</v>
      </c>
      <c r="FZ11" s="15" t="s">
        <v>222</v>
      </c>
      <c r="GA11" s="15">
        <v>33.0</v>
      </c>
      <c r="GB11" s="15">
        <v>5.6</v>
      </c>
      <c r="GC11" s="15">
        <v>83.0</v>
      </c>
      <c r="GD11" s="15">
        <v>5.2</v>
      </c>
      <c r="GE11" s="15">
        <v>15.5</v>
      </c>
      <c r="GF11" s="15"/>
      <c r="GG11" s="15">
        <f t="shared" si="20"/>
        <v>1</v>
      </c>
      <c r="GH11" s="15">
        <v>76.0</v>
      </c>
      <c r="GI11" s="15" t="s">
        <v>222</v>
      </c>
      <c r="GJ11" s="15">
        <v>5.5</v>
      </c>
      <c r="GK11" s="15">
        <v>26.0</v>
      </c>
      <c r="GL11" s="15">
        <v>8.6</v>
      </c>
      <c r="GM11" s="15" t="s">
        <v>222</v>
      </c>
      <c r="GN11" s="15" t="s">
        <v>222</v>
      </c>
      <c r="GO11" s="15" t="s">
        <v>222</v>
      </c>
      <c r="GP11" s="16">
        <v>45016.0</v>
      </c>
      <c r="GQ11" s="15">
        <v>76.0</v>
      </c>
      <c r="GR11" s="15" t="s">
        <v>222</v>
      </c>
      <c r="GS11" s="15">
        <v>5.5</v>
      </c>
      <c r="GT11" s="15">
        <v>26.0</v>
      </c>
      <c r="GU11" s="15">
        <v>8.6</v>
      </c>
      <c r="GV11" s="15">
        <v>70.5</v>
      </c>
      <c r="GW11" s="15" t="s">
        <v>222</v>
      </c>
      <c r="GX11" s="15" t="s">
        <v>222</v>
      </c>
      <c r="GY11" s="15">
        <v>25.0</v>
      </c>
      <c r="GZ11" s="15" t="s">
        <v>222</v>
      </c>
      <c r="HA11" s="15" t="s">
        <v>222</v>
      </c>
      <c r="HB11" s="15" t="s">
        <v>222</v>
      </c>
      <c r="HC11" s="15" t="s">
        <v>222</v>
      </c>
      <c r="HD11" s="15" t="s">
        <v>222</v>
      </c>
      <c r="HE11" s="15">
        <v>0.0</v>
      </c>
      <c r="HF11" s="15" t="s">
        <v>222</v>
      </c>
      <c r="HG11" s="15">
        <v>136.0</v>
      </c>
      <c r="HH11" s="15">
        <v>129.0</v>
      </c>
      <c r="HI11" s="15">
        <v>91.9</v>
      </c>
      <c r="HJ11" s="15">
        <v>56.5</v>
      </c>
      <c r="HK11" s="15" t="s">
        <v>301</v>
      </c>
      <c r="HL11" s="16">
        <v>45641.0</v>
      </c>
      <c r="HM11" s="15" t="s">
        <v>367</v>
      </c>
      <c r="HN11" s="16">
        <v>45337.0</v>
      </c>
      <c r="HO11" s="15" t="s">
        <v>368</v>
      </c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</row>
    <row r="12">
      <c r="A12" s="27" t="s">
        <v>218</v>
      </c>
      <c r="B12" s="15" t="s">
        <v>369</v>
      </c>
      <c r="C12" s="15">
        <v>2214402.0</v>
      </c>
      <c r="D12" s="16">
        <v>17941.0</v>
      </c>
      <c r="E12" s="16">
        <v>44971.0</v>
      </c>
      <c r="F12" s="16">
        <v>44988.0</v>
      </c>
      <c r="G12" s="16">
        <v>44972.0</v>
      </c>
      <c r="H12" s="15">
        <f t="shared" si="1"/>
        <v>74.05753425</v>
      </c>
      <c r="I12" s="15">
        <v>1.0</v>
      </c>
      <c r="J12" s="15">
        <f t="shared" si="2"/>
        <v>17</v>
      </c>
      <c r="K12" s="15">
        <v>1.0</v>
      </c>
      <c r="L12" s="15">
        <v>67.0</v>
      </c>
      <c r="M12" s="15">
        <v>1.7</v>
      </c>
      <c r="N12" s="17">
        <f t="shared" si="3"/>
        <v>23.183391</v>
      </c>
      <c r="O12" s="15">
        <v>1.0</v>
      </c>
      <c r="P12" s="15" t="s">
        <v>370</v>
      </c>
      <c r="Q12" s="15">
        <v>0.0</v>
      </c>
      <c r="R12" s="15">
        <v>0.0</v>
      </c>
      <c r="S12" s="15" t="s">
        <v>371</v>
      </c>
      <c r="T12" s="15">
        <v>0.0</v>
      </c>
      <c r="U12" s="15">
        <v>0.0</v>
      </c>
      <c r="V12" s="15">
        <v>0.0</v>
      </c>
      <c r="W12" s="15">
        <v>1.0</v>
      </c>
      <c r="X12" s="18">
        <v>0.4131944444444444</v>
      </c>
      <c r="Y12" s="18">
        <v>0.5902777777777778</v>
      </c>
      <c r="Z12" s="19">
        <f t="shared" si="4"/>
        <v>0.1770833333</v>
      </c>
      <c r="AA12" s="18">
        <f t="shared" si="5"/>
        <v>255</v>
      </c>
      <c r="AB12" s="15">
        <v>2.0</v>
      </c>
      <c r="AC12" s="15">
        <v>0.0</v>
      </c>
      <c r="AD12" s="15" t="s">
        <v>222</v>
      </c>
      <c r="AE12" s="15" t="s">
        <v>222</v>
      </c>
      <c r="AF12" s="15">
        <v>0.0</v>
      </c>
      <c r="AG12" s="15" t="s">
        <v>372</v>
      </c>
      <c r="AH12" s="15" t="s">
        <v>222</v>
      </c>
      <c r="AI12" s="15">
        <v>0.0</v>
      </c>
      <c r="AJ12" s="15">
        <v>1.0</v>
      </c>
      <c r="AK12" s="15">
        <v>0.0</v>
      </c>
      <c r="AL12" s="15" t="s">
        <v>222</v>
      </c>
      <c r="AM12" s="15" t="s">
        <v>222</v>
      </c>
      <c r="AN12" s="15" t="s">
        <v>222</v>
      </c>
      <c r="AO12" s="15">
        <v>0.0</v>
      </c>
      <c r="AP12" s="15" t="s">
        <v>222</v>
      </c>
      <c r="AQ12" s="15" t="s">
        <v>222</v>
      </c>
      <c r="AR12" s="15" t="s">
        <v>222</v>
      </c>
      <c r="AS12" s="15">
        <v>0.0</v>
      </c>
      <c r="AT12" s="15" t="s">
        <v>222</v>
      </c>
      <c r="AU12" s="15" t="s">
        <v>222</v>
      </c>
      <c r="AV12" s="15" t="s">
        <v>222</v>
      </c>
      <c r="AW12" s="15" t="s">
        <v>373</v>
      </c>
      <c r="AX12" s="15" t="s">
        <v>225</v>
      </c>
      <c r="AY12" s="15">
        <v>0.0</v>
      </c>
      <c r="AZ12" s="15">
        <v>1.0</v>
      </c>
      <c r="BA12" s="15">
        <v>2.0</v>
      </c>
      <c r="BB12" s="15" t="s">
        <v>374</v>
      </c>
      <c r="BC12" s="15" t="s">
        <v>375</v>
      </c>
      <c r="BD12" s="15" t="s">
        <v>228</v>
      </c>
      <c r="BE12" s="15" t="s">
        <v>222</v>
      </c>
      <c r="BF12" s="15">
        <v>0.6</v>
      </c>
      <c r="BG12" s="15">
        <v>1.0</v>
      </c>
      <c r="BH12" s="15">
        <v>0.0</v>
      </c>
      <c r="BI12" s="15">
        <v>0.0</v>
      </c>
      <c r="BJ12" s="15" t="s">
        <v>222</v>
      </c>
      <c r="BK12" s="15" t="s">
        <v>376</v>
      </c>
      <c r="BL12" s="15">
        <v>0.0</v>
      </c>
      <c r="BM12" s="15" t="s">
        <v>222</v>
      </c>
      <c r="BN12" s="15">
        <v>1.0</v>
      </c>
      <c r="BO12" s="15">
        <v>9.0</v>
      </c>
      <c r="BP12" s="15" t="s">
        <v>222</v>
      </c>
      <c r="BQ12" s="15" t="s">
        <v>222</v>
      </c>
      <c r="BR12" s="15" t="s">
        <v>222</v>
      </c>
      <c r="BS12" s="15">
        <v>1.0</v>
      </c>
      <c r="BT12" s="15">
        <v>1.0</v>
      </c>
      <c r="BU12" s="15">
        <v>1.0</v>
      </c>
      <c r="BV12" s="15">
        <v>0.0</v>
      </c>
      <c r="BW12" s="15">
        <v>0.0</v>
      </c>
      <c r="BX12" s="15">
        <v>0.0</v>
      </c>
      <c r="BY12" s="15">
        <v>27.0</v>
      </c>
      <c r="BZ12" s="15">
        <f t="shared" si="6"/>
        <v>0</v>
      </c>
      <c r="CA12" s="15">
        <v>0.0</v>
      </c>
      <c r="CB12" s="15">
        <v>0.0</v>
      </c>
      <c r="CC12" s="15">
        <v>1.0</v>
      </c>
      <c r="CD12" s="15" t="s">
        <v>377</v>
      </c>
      <c r="CE12" s="15">
        <v>1.0</v>
      </c>
      <c r="CF12" s="15" t="s">
        <v>378</v>
      </c>
      <c r="CG12" s="15">
        <v>6.0</v>
      </c>
      <c r="CH12" s="15">
        <v>13.3</v>
      </c>
      <c r="CI12" s="15" t="s">
        <v>379</v>
      </c>
      <c r="CJ12" s="15" t="s">
        <v>380</v>
      </c>
      <c r="CK12" s="15" t="s">
        <v>381</v>
      </c>
      <c r="CL12" s="15" t="s">
        <v>234</v>
      </c>
      <c r="CM12" s="16">
        <v>44974.0</v>
      </c>
      <c r="CN12" s="15">
        <f t="shared" ref="CN12:CN16" si="23">CM12-G12</f>
        <v>2</v>
      </c>
      <c r="CO12" s="15">
        <v>12.1</v>
      </c>
      <c r="CP12" s="15">
        <v>200.0</v>
      </c>
      <c r="CQ12" s="15">
        <v>0.0</v>
      </c>
      <c r="CR12" s="15">
        <v>0.0</v>
      </c>
      <c r="CS12" s="15">
        <v>0.0</v>
      </c>
      <c r="CT12" s="15">
        <v>0.0</v>
      </c>
      <c r="CU12" s="15">
        <v>0.0</v>
      </c>
      <c r="CV12" s="15" t="s">
        <v>299</v>
      </c>
      <c r="CW12" s="16">
        <v>44975.0</v>
      </c>
      <c r="CX12" s="15">
        <v>300.0</v>
      </c>
      <c r="CY12" s="15">
        <f t="shared" si="7"/>
        <v>0.1633333333</v>
      </c>
      <c r="CZ12" s="15">
        <v>9.8</v>
      </c>
      <c r="DA12" s="15">
        <f t="shared" si="8"/>
        <v>0.2183333333</v>
      </c>
      <c r="DB12" s="15">
        <v>13.1</v>
      </c>
      <c r="DC12" s="15">
        <v>0.0</v>
      </c>
      <c r="DD12" s="15">
        <v>0.0</v>
      </c>
      <c r="DE12" s="16">
        <v>44977.0</v>
      </c>
      <c r="DF12" s="15">
        <v>300.0</v>
      </c>
      <c r="DG12" s="15">
        <f t="shared" si="9"/>
        <v>0.09666666667</v>
      </c>
      <c r="DH12" s="15">
        <v>5.8</v>
      </c>
      <c r="DI12" s="15">
        <f t="shared" si="22"/>
        <v>0.215</v>
      </c>
      <c r="DJ12" s="15">
        <v>12.9</v>
      </c>
      <c r="DK12" s="15">
        <v>0.0</v>
      </c>
      <c r="DL12" s="15">
        <v>0.0</v>
      </c>
      <c r="DM12" s="15">
        <v>0.0</v>
      </c>
      <c r="DN12" s="15">
        <v>0.0</v>
      </c>
      <c r="DO12" s="15">
        <v>0.0</v>
      </c>
      <c r="DP12" s="15">
        <v>0.0</v>
      </c>
      <c r="DQ12" s="15">
        <v>0.0</v>
      </c>
      <c r="DR12" s="15">
        <v>0.0</v>
      </c>
      <c r="DS12" s="15" t="s">
        <v>222</v>
      </c>
      <c r="DT12" s="15">
        <v>0.0</v>
      </c>
      <c r="DU12" s="15" t="s">
        <v>222</v>
      </c>
      <c r="DV12" s="15">
        <v>0.0</v>
      </c>
      <c r="DW12" s="15" t="s">
        <v>222</v>
      </c>
      <c r="DX12" s="15">
        <v>0.0</v>
      </c>
      <c r="DY12" s="15" t="s">
        <v>222</v>
      </c>
      <c r="DZ12" s="15">
        <v>0.0</v>
      </c>
      <c r="EA12" s="15">
        <v>0.0</v>
      </c>
      <c r="EB12" s="15">
        <v>0.0</v>
      </c>
      <c r="EC12" s="15">
        <v>0.0</v>
      </c>
      <c r="ED12" s="15">
        <v>0.0</v>
      </c>
      <c r="EE12" s="15" t="s">
        <v>222</v>
      </c>
      <c r="EF12" s="15" t="s">
        <v>222</v>
      </c>
      <c r="EG12" s="15">
        <v>0.0</v>
      </c>
      <c r="EH12" s="15" t="s">
        <v>222</v>
      </c>
      <c r="EI12" s="15">
        <v>0.0</v>
      </c>
      <c r="EJ12" s="15" t="s">
        <v>222</v>
      </c>
      <c r="EK12" s="15" t="s">
        <v>222</v>
      </c>
      <c r="EL12" s="15" t="s">
        <v>222</v>
      </c>
      <c r="EM12" s="15" t="s">
        <v>222</v>
      </c>
      <c r="EN12" s="15">
        <v>0.0</v>
      </c>
      <c r="EO12" s="15" t="s">
        <v>222</v>
      </c>
      <c r="EP12" s="15" t="s">
        <v>222</v>
      </c>
      <c r="EQ12" s="15" t="s">
        <v>222</v>
      </c>
      <c r="ER12" s="16">
        <v>44975.0</v>
      </c>
      <c r="ES12" s="16">
        <v>45002.0</v>
      </c>
      <c r="ET12" s="15">
        <f t="shared" si="11"/>
        <v>3</v>
      </c>
      <c r="EU12" s="15">
        <f t="shared" si="12"/>
        <v>27</v>
      </c>
      <c r="EV12" s="16">
        <v>44979.0</v>
      </c>
      <c r="EW12" s="15">
        <f t="shared" si="13"/>
        <v>7</v>
      </c>
      <c r="EX12" s="15">
        <v>0.0</v>
      </c>
      <c r="EY12" s="15">
        <v>0.0</v>
      </c>
      <c r="EZ12" s="15">
        <v>0.0</v>
      </c>
      <c r="FA12" s="15">
        <v>1.0</v>
      </c>
      <c r="FB12" s="15" t="s">
        <v>236</v>
      </c>
      <c r="FC12" s="20">
        <v>45041.0</v>
      </c>
      <c r="FD12" s="15" t="s">
        <v>222</v>
      </c>
      <c r="FE12" s="15" t="s">
        <v>222</v>
      </c>
      <c r="FF12" s="16" t="str">
        <f t="shared" si="14"/>
        <v>#VALUE!</v>
      </c>
      <c r="FG12" s="15" t="s">
        <v>222</v>
      </c>
      <c r="FH12" s="15">
        <v>0.0</v>
      </c>
      <c r="FI12" s="15" t="s">
        <v>222</v>
      </c>
      <c r="FJ12" s="15" t="s">
        <v>222</v>
      </c>
      <c r="FK12" s="15">
        <f t="shared" si="15"/>
        <v>70</v>
      </c>
      <c r="FL12" s="15">
        <v>0.0</v>
      </c>
      <c r="FM12" s="15" t="s">
        <v>222</v>
      </c>
      <c r="FN12" s="15" t="s">
        <v>222</v>
      </c>
      <c r="FO12" s="16" t="str">
        <f t="shared" si="21"/>
        <v>#VALUE!</v>
      </c>
      <c r="FP12" s="15">
        <v>1.0</v>
      </c>
      <c r="FQ12" s="15" t="s">
        <v>365</v>
      </c>
      <c r="FR12" s="16">
        <v>44982.0</v>
      </c>
      <c r="FS12" s="15">
        <f t="shared" si="16"/>
        <v>10</v>
      </c>
      <c r="FT12" s="15">
        <v>0.0</v>
      </c>
      <c r="FU12" s="15">
        <v>7.8</v>
      </c>
      <c r="FV12" s="15">
        <v>2.0</v>
      </c>
      <c r="FW12" s="15">
        <v>0.0</v>
      </c>
      <c r="FX12" s="15" t="s">
        <v>300</v>
      </c>
      <c r="FY12" s="15">
        <v>26.0</v>
      </c>
      <c r="FZ12" s="15">
        <v>1.0</v>
      </c>
      <c r="GA12" s="15">
        <v>37.7</v>
      </c>
      <c r="GB12" s="15">
        <v>6.1</v>
      </c>
      <c r="GC12" s="15">
        <v>82.0</v>
      </c>
      <c r="GD12" s="15">
        <v>7.8</v>
      </c>
      <c r="GE12" s="15">
        <v>14.9</v>
      </c>
      <c r="GF12" s="15"/>
      <c r="GG12" s="15">
        <f t="shared" si="20"/>
        <v>1</v>
      </c>
      <c r="GH12" s="15">
        <v>64.0</v>
      </c>
      <c r="GI12" s="15">
        <v>1.19</v>
      </c>
      <c r="GJ12" s="15">
        <v>5.4</v>
      </c>
      <c r="GK12" s="15">
        <v>31.0</v>
      </c>
      <c r="GL12" s="15">
        <v>2.1</v>
      </c>
      <c r="GM12" s="15" t="s">
        <v>222</v>
      </c>
      <c r="GN12" s="15" t="s">
        <v>222</v>
      </c>
      <c r="GO12" s="15" t="s">
        <v>222</v>
      </c>
      <c r="GP12" s="16">
        <v>45000.0</v>
      </c>
      <c r="GQ12" s="15">
        <v>64.0</v>
      </c>
      <c r="GR12" s="15">
        <v>1.19</v>
      </c>
      <c r="GS12" s="15">
        <v>5.4</v>
      </c>
      <c r="GT12" s="15">
        <v>31.0</v>
      </c>
      <c r="GU12" s="15">
        <v>2.1</v>
      </c>
      <c r="GV12" s="15">
        <v>51.0</v>
      </c>
      <c r="GW12" s="15">
        <v>1.06</v>
      </c>
      <c r="GX12" s="15" t="s">
        <v>222</v>
      </c>
      <c r="GY12" s="15">
        <v>30.0</v>
      </c>
      <c r="GZ12" s="15" t="s">
        <v>222</v>
      </c>
      <c r="HA12" s="15">
        <v>14.0</v>
      </c>
      <c r="HB12" s="15">
        <v>3.2</v>
      </c>
      <c r="HC12" s="15">
        <v>10.8</v>
      </c>
      <c r="HD12" s="15">
        <v>1.0</v>
      </c>
      <c r="HE12" s="15">
        <v>1.0</v>
      </c>
      <c r="HF12" s="15"/>
      <c r="HG12" s="15"/>
      <c r="HH12" s="15"/>
      <c r="HI12" s="15"/>
      <c r="HJ12" s="15"/>
      <c r="HK12" s="15" t="s">
        <v>301</v>
      </c>
      <c r="HL12" s="28">
        <v>45139.0</v>
      </c>
      <c r="HM12" s="15" t="s">
        <v>382</v>
      </c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</row>
    <row r="13">
      <c r="A13" s="27" t="s">
        <v>218</v>
      </c>
      <c r="B13" s="15" t="s">
        <v>383</v>
      </c>
      <c r="C13" s="15">
        <v>6846011.0</v>
      </c>
      <c r="D13" s="16">
        <v>21566.0</v>
      </c>
      <c r="E13" s="16">
        <v>44973.0</v>
      </c>
      <c r="F13" s="16">
        <v>45012.0</v>
      </c>
      <c r="G13" s="16">
        <v>44974.0</v>
      </c>
      <c r="H13" s="15">
        <f t="shared" si="1"/>
        <v>64.13150685</v>
      </c>
      <c r="I13" s="15">
        <v>0.0</v>
      </c>
      <c r="J13" s="15">
        <f t="shared" si="2"/>
        <v>39</v>
      </c>
      <c r="K13" s="15">
        <v>1.0</v>
      </c>
      <c r="L13" s="15">
        <v>59.0</v>
      </c>
      <c r="M13" s="15">
        <v>1.65</v>
      </c>
      <c r="N13" s="17">
        <f t="shared" si="3"/>
        <v>21.67125803</v>
      </c>
      <c r="O13" s="15">
        <v>2.0</v>
      </c>
      <c r="P13" s="15" t="s">
        <v>384</v>
      </c>
      <c r="Q13" s="15">
        <v>0.0</v>
      </c>
      <c r="R13" s="15">
        <v>0.0</v>
      </c>
      <c r="S13" s="15" t="s">
        <v>385</v>
      </c>
      <c r="T13" s="15">
        <v>0.0</v>
      </c>
      <c r="U13" s="15">
        <v>0.0</v>
      </c>
      <c r="V13" s="15">
        <v>0.0</v>
      </c>
      <c r="W13" s="15">
        <v>1.0</v>
      </c>
      <c r="X13" s="18">
        <v>0.5277777777777778</v>
      </c>
      <c r="Y13" s="18">
        <v>0.7305555555555556</v>
      </c>
      <c r="Z13" s="19">
        <f t="shared" si="4"/>
        <v>0.2027777778</v>
      </c>
      <c r="AA13" s="18">
        <f t="shared" si="5"/>
        <v>292</v>
      </c>
      <c r="AB13" s="15">
        <v>2.0</v>
      </c>
      <c r="AC13" s="15">
        <v>0.0</v>
      </c>
      <c r="AD13" s="15" t="s">
        <v>222</v>
      </c>
      <c r="AE13" s="15" t="s">
        <v>222</v>
      </c>
      <c r="AF13" s="15">
        <v>0.0</v>
      </c>
      <c r="AG13" s="15" t="s">
        <v>295</v>
      </c>
      <c r="AH13" s="15" t="s">
        <v>222</v>
      </c>
      <c r="AI13" s="15">
        <v>0.0</v>
      </c>
      <c r="AJ13" s="15">
        <v>1.0</v>
      </c>
      <c r="AK13" s="15">
        <v>0.0</v>
      </c>
      <c r="AL13" s="15" t="s">
        <v>222</v>
      </c>
      <c r="AM13" s="15" t="s">
        <v>222</v>
      </c>
      <c r="AN13" s="15" t="s">
        <v>222</v>
      </c>
      <c r="AO13" s="15">
        <v>0.0</v>
      </c>
      <c r="AP13" s="15" t="s">
        <v>222</v>
      </c>
      <c r="AQ13" s="15" t="s">
        <v>222</v>
      </c>
      <c r="AR13" s="15" t="s">
        <v>222</v>
      </c>
      <c r="AS13" s="15">
        <v>0.0</v>
      </c>
      <c r="AT13" s="15" t="s">
        <v>222</v>
      </c>
      <c r="AU13" s="15" t="s">
        <v>222</v>
      </c>
      <c r="AV13" s="15" t="s">
        <v>222</v>
      </c>
      <c r="AW13" s="15" t="s">
        <v>295</v>
      </c>
      <c r="AX13" s="15" t="s">
        <v>225</v>
      </c>
      <c r="AY13" s="15">
        <v>0.0</v>
      </c>
      <c r="AZ13" s="15">
        <v>1.0</v>
      </c>
      <c r="BA13" s="15">
        <v>2.0</v>
      </c>
      <c r="BB13" s="15" t="s">
        <v>386</v>
      </c>
      <c r="BC13" s="15" t="s">
        <v>387</v>
      </c>
      <c r="BD13" s="15" t="s">
        <v>228</v>
      </c>
      <c r="BE13" s="15">
        <v>1.0</v>
      </c>
      <c r="BF13" s="15">
        <v>2.5</v>
      </c>
      <c r="BG13" s="15">
        <v>2.0</v>
      </c>
      <c r="BH13" s="15">
        <v>0.0</v>
      </c>
      <c r="BI13" s="15">
        <v>0.0</v>
      </c>
      <c r="BJ13" s="15" t="s">
        <v>222</v>
      </c>
      <c r="BK13" s="15">
        <v>2.0</v>
      </c>
      <c r="BL13" s="15">
        <v>1.0</v>
      </c>
      <c r="BM13" s="15" t="s">
        <v>327</v>
      </c>
      <c r="BN13" s="15">
        <v>1.0</v>
      </c>
      <c r="BO13" s="15">
        <v>1.0</v>
      </c>
      <c r="BP13" s="15" t="s">
        <v>222</v>
      </c>
      <c r="BQ13" s="15" t="s">
        <v>222</v>
      </c>
      <c r="BR13" s="15" t="s">
        <v>222</v>
      </c>
      <c r="BS13" s="15">
        <v>0.0</v>
      </c>
      <c r="BT13" s="15" t="s">
        <v>222</v>
      </c>
      <c r="BU13" s="15" t="s">
        <v>222</v>
      </c>
      <c r="BV13" s="15" t="s">
        <v>222</v>
      </c>
      <c r="BW13" s="15">
        <v>0.0</v>
      </c>
      <c r="BX13" s="15">
        <v>0.0</v>
      </c>
      <c r="BY13" s="15">
        <v>13.0</v>
      </c>
      <c r="BZ13" s="15">
        <f t="shared" si="6"/>
        <v>0</v>
      </c>
      <c r="CA13" s="15">
        <v>0.0</v>
      </c>
      <c r="CB13" s="15">
        <v>1.0</v>
      </c>
      <c r="CC13" s="15">
        <v>1.0</v>
      </c>
      <c r="CD13" s="15" t="s">
        <v>224</v>
      </c>
      <c r="CE13" s="15">
        <v>1.0</v>
      </c>
      <c r="CF13" s="15" t="s">
        <v>224</v>
      </c>
      <c r="CG13" s="15">
        <v>8.0</v>
      </c>
      <c r="CH13" s="15">
        <v>10.6</v>
      </c>
      <c r="CI13" s="15" t="s">
        <v>388</v>
      </c>
      <c r="CJ13" s="15"/>
      <c r="CK13" s="15" t="s">
        <v>389</v>
      </c>
      <c r="CL13" s="15" t="s">
        <v>234</v>
      </c>
      <c r="CM13" s="16">
        <v>44977.0</v>
      </c>
      <c r="CN13" s="15">
        <f t="shared" si="23"/>
        <v>3</v>
      </c>
      <c r="CO13" s="15">
        <v>9.0</v>
      </c>
      <c r="CP13" s="15">
        <v>300.0</v>
      </c>
      <c r="CQ13" s="15">
        <v>0.0</v>
      </c>
      <c r="CR13" s="15">
        <v>0.0</v>
      </c>
      <c r="CS13" s="15">
        <v>0.0</v>
      </c>
      <c r="CT13" s="15">
        <v>0.0</v>
      </c>
      <c r="CU13" s="15">
        <v>0.0</v>
      </c>
      <c r="CV13" s="15" t="s">
        <v>285</v>
      </c>
      <c r="CW13" s="16">
        <v>44977.0</v>
      </c>
      <c r="CX13" s="15">
        <v>500.0</v>
      </c>
      <c r="CY13" s="15">
        <f t="shared" si="7"/>
        <v>5.133333333</v>
      </c>
      <c r="CZ13" s="15">
        <v>308.0</v>
      </c>
      <c r="DA13" s="15">
        <f t="shared" si="8"/>
        <v>1.256666667</v>
      </c>
      <c r="DB13" s="15">
        <v>75.4</v>
      </c>
      <c r="DC13" s="15">
        <v>1.0</v>
      </c>
      <c r="DD13" s="15">
        <v>1.0</v>
      </c>
      <c r="DE13" s="16">
        <v>44979.0</v>
      </c>
      <c r="DF13" s="15">
        <v>450.0</v>
      </c>
      <c r="DG13" s="15">
        <f t="shared" si="9"/>
        <v>0.4933333333</v>
      </c>
      <c r="DH13" s="15">
        <v>29.6</v>
      </c>
      <c r="DI13" s="15">
        <f t="shared" si="22"/>
        <v>0.47</v>
      </c>
      <c r="DJ13" s="15">
        <v>28.2</v>
      </c>
      <c r="DK13" s="15">
        <v>0.0</v>
      </c>
      <c r="DL13" s="15">
        <v>1.0</v>
      </c>
      <c r="DM13" s="15">
        <v>1.0</v>
      </c>
      <c r="DN13" s="15">
        <v>0.0</v>
      </c>
      <c r="DO13" s="15">
        <v>0.0</v>
      </c>
      <c r="DP13" s="15">
        <v>0.0</v>
      </c>
      <c r="DQ13" s="15">
        <v>1.0</v>
      </c>
      <c r="DR13" s="15">
        <v>1.0</v>
      </c>
      <c r="DS13" s="15" t="s">
        <v>253</v>
      </c>
      <c r="DT13" s="15">
        <v>0.0</v>
      </c>
      <c r="DU13" s="15" t="s">
        <v>222</v>
      </c>
      <c r="DV13" s="15">
        <v>0.0</v>
      </c>
      <c r="DW13" s="15" t="s">
        <v>222</v>
      </c>
      <c r="DX13" s="15">
        <v>0.0</v>
      </c>
      <c r="DY13" s="15" t="s">
        <v>222</v>
      </c>
      <c r="DZ13" s="15">
        <v>0.0</v>
      </c>
      <c r="EA13" s="15">
        <v>0.0</v>
      </c>
      <c r="EB13" s="15">
        <v>0.0</v>
      </c>
      <c r="EC13" s="15">
        <v>0.0</v>
      </c>
      <c r="ED13" s="15">
        <v>0.0</v>
      </c>
      <c r="EE13" s="15" t="s">
        <v>390</v>
      </c>
      <c r="EF13" s="16">
        <v>44980.0</v>
      </c>
      <c r="EG13" s="15">
        <v>0.0</v>
      </c>
      <c r="EH13" s="15">
        <f>EF13-G13</f>
        <v>6</v>
      </c>
      <c r="EI13" s="15">
        <v>1.0</v>
      </c>
      <c r="EJ13" s="16">
        <v>44980.0</v>
      </c>
      <c r="EK13" s="16">
        <v>44982.0</v>
      </c>
      <c r="EL13" s="15">
        <f t="shared" ref="EL13:EL14" si="24">EK13-EJ13</f>
        <v>2</v>
      </c>
      <c r="EM13" s="15">
        <v>0.0</v>
      </c>
      <c r="EN13" s="15">
        <v>0.0</v>
      </c>
      <c r="EO13" s="15" t="s">
        <v>222</v>
      </c>
      <c r="EP13" s="15" t="s">
        <v>222</v>
      </c>
      <c r="EQ13" s="15" t="s">
        <v>222</v>
      </c>
      <c r="ER13" s="16">
        <v>44977.0</v>
      </c>
      <c r="ES13" s="16">
        <v>45106.0</v>
      </c>
      <c r="ET13" s="15">
        <f t="shared" si="11"/>
        <v>3</v>
      </c>
      <c r="EU13" s="15">
        <f t="shared" si="12"/>
        <v>129</v>
      </c>
      <c r="EV13" s="16">
        <v>44988.0</v>
      </c>
      <c r="EW13" s="15">
        <f t="shared" si="13"/>
        <v>14</v>
      </c>
      <c r="EX13" s="15">
        <v>2.0</v>
      </c>
      <c r="EY13" s="15">
        <v>0.0</v>
      </c>
      <c r="EZ13" s="15">
        <v>0.0</v>
      </c>
      <c r="FA13" s="15">
        <v>1.0</v>
      </c>
      <c r="FB13" s="15" t="s">
        <v>236</v>
      </c>
      <c r="FC13" s="20">
        <v>45212.0</v>
      </c>
      <c r="FD13" s="15" t="s">
        <v>222</v>
      </c>
      <c r="FE13" s="15" t="s">
        <v>222</v>
      </c>
      <c r="FF13" s="16" t="str">
        <f t="shared" si="14"/>
        <v>#VALUE!</v>
      </c>
      <c r="FG13" s="15" t="s">
        <v>222</v>
      </c>
      <c r="FH13" s="15">
        <v>0.0</v>
      </c>
      <c r="FI13" s="15" t="s">
        <v>222</v>
      </c>
      <c r="FJ13" s="15" t="s">
        <v>222</v>
      </c>
      <c r="FK13" s="15">
        <f t="shared" si="15"/>
        <v>239</v>
      </c>
      <c r="FL13" s="15">
        <v>1.0</v>
      </c>
      <c r="FM13" s="15" t="s">
        <v>222</v>
      </c>
      <c r="FN13" s="16">
        <v>44975.0</v>
      </c>
      <c r="FO13" s="15">
        <f t="shared" si="21"/>
        <v>1</v>
      </c>
      <c r="FP13" s="15">
        <v>1.0</v>
      </c>
      <c r="FQ13" s="15" t="s">
        <v>237</v>
      </c>
      <c r="FR13" s="16">
        <v>44988.0</v>
      </c>
      <c r="FS13" s="15">
        <f t="shared" si="16"/>
        <v>14</v>
      </c>
      <c r="FT13" s="15">
        <v>0.0</v>
      </c>
      <c r="FU13" s="15">
        <v>6.4</v>
      </c>
      <c r="FV13" s="15">
        <v>0.0</v>
      </c>
      <c r="FW13" s="15">
        <v>0.0</v>
      </c>
      <c r="FX13" s="15" t="s">
        <v>391</v>
      </c>
      <c r="FY13" s="15">
        <v>20.0</v>
      </c>
      <c r="FZ13" s="15">
        <v>0.9</v>
      </c>
      <c r="GA13" s="15">
        <v>31.7</v>
      </c>
      <c r="GB13" s="15" t="s">
        <v>222</v>
      </c>
      <c r="GC13" s="15">
        <v>233.0</v>
      </c>
      <c r="GD13" s="15">
        <v>6.4</v>
      </c>
      <c r="GE13" s="15">
        <v>15.1</v>
      </c>
      <c r="GF13" s="15">
        <v>60.0</v>
      </c>
      <c r="GG13" s="15">
        <f t="shared" si="20"/>
        <v>0.7424892704</v>
      </c>
      <c r="GH13" s="15">
        <v>56.0</v>
      </c>
      <c r="GI13" s="15">
        <v>1.0</v>
      </c>
      <c r="GJ13" s="15" t="s">
        <v>222</v>
      </c>
      <c r="GK13" s="15">
        <v>38.0</v>
      </c>
      <c r="GL13" s="15" t="s">
        <v>222</v>
      </c>
      <c r="GM13" s="15">
        <v>60.0</v>
      </c>
      <c r="GN13" s="15">
        <v>5.3</v>
      </c>
      <c r="GO13" s="15">
        <v>22.4</v>
      </c>
      <c r="GP13" s="16">
        <v>45044.0</v>
      </c>
      <c r="GQ13" s="15">
        <v>56.0</v>
      </c>
      <c r="GR13" s="15">
        <v>1.0</v>
      </c>
      <c r="GS13" s="15" t="s">
        <v>222</v>
      </c>
      <c r="GT13" s="15">
        <v>38.0</v>
      </c>
      <c r="GU13" s="15" t="s">
        <v>222</v>
      </c>
      <c r="GV13" s="15">
        <v>60.4</v>
      </c>
      <c r="GW13" s="15">
        <v>0.98</v>
      </c>
      <c r="GX13" s="15" t="s">
        <v>222</v>
      </c>
      <c r="GY13" s="15">
        <v>44.0</v>
      </c>
      <c r="GZ13" s="15" t="s">
        <v>222</v>
      </c>
      <c r="HA13" s="15">
        <v>55.0</v>
      </c>
      <c r="HB13" s="15" t="s">
        <v>222</v>
      </c>
      <c r="HC13" s="15">
        <v>20.4</v>
      </c>
      <c r="HD13" s="15">
        <v>0.0</v>
      </c>
      <c r="HE13" s="15">
        <v>0.0</v>
      </c>
      <c r="HF13" s="15" t="s">
        <v>222</v>
      </c>
      <c r="HG13" s="15" t="s">
        <v>222</v>
      </c>
      <c r="HH13" s="15">
        <v>75.4</v>
      </c>
      <c r="HI13" s="15" t="s">
        <v>222</v>
      </c>
      <c r="HJ13" s="15">
        <v>30.7</v>
      </c>
      <c r="HK13" s="15" t="s">
        <v>239</v>
      </c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</row>
    <row r="14">
      <c r="A14" s="27" t="s">
        <v>218</v>
      </c>
      <c r="B14" s="15" t="s">
        <v>392</v>
      </c>
      <c r="C14" s="15">
        <v>1798024.0</v>
      </c>
      <c r="D14" s="16">
        <v>17469.0</v>
      </c>
      <c r="E14" s="16">
        <v>45110.0</v>
      </c>
      <c r="F14" s="16">
        <v>45124.0</v>
      </c>
      <c r="G14" s="16">
        <v>45111.0</v>
      </c>
      <c r="H14" s="15">
        <f t="shared" si="1"/>
        <v>75.73150685</v>
      </c>
      <c r="I14" s="15">
        <v>1.0</v>
      </c>
      <c r="J14" s="15">
        <f t="shared" si="2"/>
        <v>14</v>
      </c>
      <c r="K14" s="15">
        <v>0.0</v>
      </c>
      <c r="L14" s="15">
        <v>67.0</v>
      </c>
      <c r="M14" s="15">
        <v>1.83</v>
      </c>
      <c r="N14" s="17">
        <f t="shared" si="3"/>
        <v>20.00656932</v>
      </c>
      <c r="O14" s="15">
        <v>2.0</v>
      </c>
      <c r="P14" s="15" t="s">
        <v>393</v>
      </c>
      <c r="Q14" s="15">
        <v>0.0</v>
      </c>
      <c r="R14" s="15">
        <v>0.0</v>
      </c>
      <c r="S14" s="15" t="s">
        <v>394</v>
      </c>
      <c r="T14" s="15">
        <v>0.0</v>
      </c>
      <c r="U14" s="15">
        <v>0.0</v>
      </c>
      <c r="V14" s="15">
        <v>0.0</v>
      </c>
      <c r="W14" s="15">
        <v>1.0</v>
      </c>
      <c r="X14" s="18">
        <v>0.41250000000000003</v>
      </c>
      <c r="Y14" s="18">
        <v>0.7131944444444445</v>
      </c>
      <c r="Z14" s="19">
        <f t="shared" si="4"/>
        <v>0.3006944444</v>
      </c>
      <c r="AA14" s="18">
        <f t="shared" si="5"/>
        <v>433</v>
      </c>
      <c r="AB14" s="15">
        <v>2.0</v>
      </c>
      <c r="AC14" s="15">
        <v>0.0</v>
      </c>
      <c r="AD14" s="15" t="s">
        <v>222</v>
      </c>
      <c r="AE14" s="15" t="s">
        <v>222</v>
      </c>
      <c r="AF14" s="15">
        <v>0.0</v>
      </c>
      <c r="AG14" s="15" t="s">
        <v>224</v>
      </c>
      <c r="AH14" s="15" t="s">
        <v>222</v>
      </c>
      <c r="AI14" s="15">
        <v>0.0</v>
      </c>
      <c r="AJ14" s="15">
        <v>1.0</v>
      </c>
      <c r="AK14" s="15">
        <v>1.0</v>
      </c>
      <c r="AL14" s="15">
        <v>1.0</v>
      </c>
      <c r="AM14" s="15">
        <v>2.0</v>
      </c>
      <c r="AN14" s="15">
        <v>2.0</v>
      </c>
      <c r="AO14" s="15">
        <v>0.0</v>
      </c>
      <c r="AP14" s="15" t="s">
        <v>222</v>
      </c>
      <c r="AQ14" s="15" t="s">
        <v>222</v>
      </c>
      <c r="AR14" s="15" t="s">
        <v>222</v>
      </c>
      <c r="AS14" s="15">
        <v>0.0</v>
      </c>
      <c r="AT14" s="15" t="s">
        <v>222</v>
      </c>
      <c r="AU14" s="15" t="s">
        <v>222</v>
      </c>
      <c r="AV14" s="15" t="s">
        <v>222</v>
      </c>
      <c r="AW14" s="15" t="s">
        <v>295</v>
      </c>
      <c r="AX14" s="15" t="s">
        <v>225</v>
      </c>
      <c r="AY14" s="15">
        <v>0.0</v>
      </c>
      <c r="AZ14" s="15">
        <v>1.0</v>
      </c>
      <c r="BA14" s="15">
        <v>2.0</v>
      </c>
      <c r="BB14" s="15" t="s">
        <v>395</v>
      </c>
      <c r="BC14" s="15" t="s">
        <v>222</v>
      </c>
      <c r="BD14" s="15" t="s">
        <v>228</v>
      </c>
      <c r="BE14" s="15" t="s">
        <v>222</v>
      </c>
      <c r="BF14" s="15">
        <v>3.5</v>
      </c>
      <c r="BG14" s="15">
        <v>2.0</v>
      </c>
      <c r="BH14" s="15">
        <v>0.0</v>
      </c>
      <c r="BI14" s="15">
        <v>0.0</v>
      </c>
      <c r="BJ14" s="15" t="s">
        <v>222</v>
      </c>
      <c r="BK14" s="15">
        <v>2.0</v>
      </c>
      <c r="BL14" s="15">
        <v>0.0</v>
      </c>
      <c r="BM14" s="15" t="s">
        <v>222</v>
      </c>
      <c r="BN14" s="15">
        <v>1.0</v>
      </c>
      <c r="BO14" s="15">
        <v>2.0</v>
      </c>
      <c r="BP14" s="15" t="s">
        <v>222</v>
      </c>
      <c r="BQ14" s="15" t="s">
        <v>222</v>
      </c>
      <c r="BR14" s="15" t="s">
        <v>222</v>
      </c>
      <c r="BS14" s="15">
        <v>0.0</v>
      </c>
      <c r="BT14" s="15" t="s">
        <v>222</v>
      </c>
      <c r="BU14" s="15" t="s">
        <v>222</v>
      </c>
      <c r="BV14" s="15" t="s">
        <v>222</v>
      </c>
      <c r="BW14" s="15">
        <v>0.0</v>
      </c>
      <c r="BX14" s="15">
        <v>0.0</v>
      </c>
      <c r="BY14" s="15">
        <v>40.0</v>
      </c>
      <c r="BZ14" s="15">
        <f t="shared" si="6"/>
        <v>0</v>
      </c>
      <c r="CA14" s="15">
        <v>0.0</v>
      </c>
      <c r="CB14" s="15">
        <v>1.0</v>
      </c>
      <c r="CC14" s="15">
        <v>1.0</v>
      </c>
      <c r="CD14" s="15" t="s">
        <v>224</v>
      </c>
      <c r="CE14" s="15">
        <v>1.0</v>
      </c>
      <c r="CF14" s="15" t="s">
        <v>224</v>
      </c>
      <c r="CG14" s="15">
        <v>5.0</v>
      </c>
      <c r="CH14" s="15">
        <v>14.1</v>
      </c>
      <c r="CI14" s="15" t="s">
        <v>396</v>
      </c>
      <c r="CJ14" s="15" t="s">
        <v>222</v>
      </c>
      <c r="CK14" s="15" t="s">
        <v>397</v>
      </c>
      <c r="CL14" s="15" t="s">
        <v>234</v>
      </c>
      <c r="CM14" s="16">
        <v>45114.0</v>
      </c>
      <c r="CN14" s="15">
        <f t="shared" si="23"/>
        <v>3</v>
      </c>
      <c r="CO14" s="15">
        <v>12.2</v>
      </c>
      <c r="CP14" s="15">
        <v>750.0</v>
      </c>
      <c r="CQ14" s="15">
        <v>0.0</v>
      </c>
      <c r="CR14" s="15">
        <v>0.0</v>
      </c>
      <c r="CS14" s="15">
        <v>0.0</v>
      </c>
      <c r="CT14" s="15">
        <v>0.0</v>
      </c>
      <c r="CU14" s="15">
        <v>0.0</v>
      </c>
      <c r="CV14" s="15" t="s">
        <v>398</v>
      </c>
      <c r="CW14" s="16">
        <v>45114.0</v>
      </c>
      <c r="CX14" s="15">
        <v>400.0</v>
      </c>
      <c r="CY14" s="15">
        <f t="shared" si="7"/>
        <v>1.033333333</v>
      </c>
      <c r="CZ14" s="15">
        <v>62.0</v>
      </c>
      <c r="DA14" s="15">
        <f t="shared" si="8"/>
        <v>0.7766666667</v>
      </c>
      <c r="DB14" s="15">
        <v>46.6</v>
      </c>
      <c r="DC14" s="15">
        <v>0.0</v>
      </c>
      <c r="DD14" s="15">
        <v>0.0</v>
      </c>
      <c r="DE14" s="16">
        <v>45114.0</v>
      </c>
      <c r="DF14" s="15">
        <v>400.0</v>
      </c>
      <c r="DG14" s="15">
        <f t="shared" si="9"/>
        <v>0.2966666667</v>
      </c>
      <c r="DH14" s="15">
        <v>17.8</v>
      </c>
      <c r="DI14" s="15">
        <f t="shared" si="22"/>
        <v>0.7766666667</v>
      </c>
      <c r="DJ14" s="15">
        <v>46.6</v>
      </c>
      <c r="DK14" s="15">
        <v>0.0</v>
      </c>
      <c r="DL14" s="15">
        <v>0.0</v>
      </c>
      <c r="DM14" s="15">
        <v>1.0</v>
      </c>
      <c r="DN14" s="15">
        <v>0.0</v>
      </c>
      <c r="DO14" s="15">
        <v>0.0</v>
      </c>
      <c r="DP14" s="15">
        <v>0.0</v>
      </c>
      <c r="DQ14" s="15">
        <v>1.0</v>
      </c>
      <c r="DR14" s="15">
        <v>0.0</v>
      </c>
      <c r="DS14" s="15" t="s">
        <v>222</v>
      </c>
      <c r="DT14" s="15">
        <v>0.0</v>
      </c>
      <c r="DU14" s="15" t="s">
        <v>222</v>
      </c>
      <c r="DV14" s="15">
        <v>0.0</v>
      </c>
      <c r="DW14" s="15" t="s">
        <v>222</v>
      </c>
      <c r="DX14" s="15">
        <v>0.0</v>
      </c>
      <c r="DY14" s="15" t="s">
        <v>222</v>
      </c>
      <c r="DZ14" s="15">
        <v>0.0</v>
      </c>
      <c r="EA14" s="15">
        <v>0.0</v>
      </c>
      <c r="EB14" s="15">
        <v>0.0</v>
      </c>
      <c r="EC14" s="15">
        <v>0.0</v>
      </c>
      <c r="ED14" s="15">
        <v>0.0</v>
      </c>
      <c r="EE14" s="15" t="s">
        <v>222</v>
      </c>
      <c r="EF14" s="15" t="s">
        <v>222</v>
      </c>
      <c r="EG14" s="15">
        <v>0.0</v>
      </c>
      <c r="EH14" s="15" t="s">
        <v>222</v>
      </c>
      <c r="EI14" s="15">
        <v>1.0</v>
      </c>
      <c r="EJ14" s="16">
        <v>45117.0</v>
      </c>
      <c r="EK14" s="16">
        <v>45120.0</v>
      </c>
      <c r="EL14" s="15">
        <f t="shared" si="24"/>
        <v>3</v>
      </c>
      <c r="EM14" s="15">
        <v>1.0</v>
      </c>
      <c r="EN14" s="15">
        <v>0.0</v>
      </c>
      <c r="EO14" s="15" t="s">
        <v>222</v>
      </c>
      <c r="EP14" s="15" t="s">
        <v>222</v>
      </c>
      <c r="EQ14" s="15" t="s">
        <v>222</v>
      </c>
      <c r="ER14" s="16">
        <v>45114.0</v>
      </c>
      <c r="ES14" s="16">
        <v>45182.0</v>
      </c>
      <c r="ET14" s="15">
        <f t="shared" si="11"/>
        <v>3</v>
      </c>
      <c r="EU14" s="15">
        <f t="shared" si="12"/>
        <v>68</v>
      </c>
      <c r="EV14" s="16">
        <v>45122.0</v>
      </c>
      <c r="EW14" s="15">
        <f t="shared" si="13"/>
        <v>11</v>
      </c>
      <c r="EX14" s="15">
        <v>2.0</v>
      </c>
      <c r="EY14" s="15">
        <v>0.0</v>
      </c>
      <c r="EZ14" s="15">
        <v>0.0</v>
      </c>
      <c r="FA14" s="15"/>
      <c r="FB14" s="15"/>
      <c r="FC14" s="20">
        <v>45257.0</v>
      </c>
      <c r="FD14" s="15" t="s">
        <v>399</v>
      </c>
      <c r="FE14" s="16">
        <v>45209.0</v>
      </c>
      <c r="FF14" s="15">
        <f t="shared" si="14"/>
        <v>98</v>
      </c>
      <c r="FG14" s="15">
        <v>1.0</v>
      </c>
      <c r="FH14" s="15">
        <v>1.0</v>
      </c>
      <c r="FI14" s="16">
        <v>45257.0</v>
      </c>
      <c r="FJ14" s="15" t="s">
        <v>400</v>
      </c>
      <c r="FK14" s="15">
        <f t="shared" si="15"/>
        <v>147</v>
      </c>
      <c r="FL14" s="15">
        <v>1.0</v>
      </c>
      <c r="FM14" s="15" t="s">
        <v>257</v>
      </c>
      <c r="FN14" s="16">
        <v>45121.0</v>
      </c>
      <c r="FO14" s="15">
        <f t="shared" si="21"/>
        <v>10</v>
      </c>
      <c r="FP14" s="15">
        <v>1.0</v>
      </c>
      <c r="FQ14" s="15" t="s">
        <v>365</v>
      </c>
      <c r="FR14" s="16">
        <v>45123.0</v>
      </c>
      <c r="FS14" s="15">
        <f t="shared" si="16"/>
        <v>12</v>
      </c>
      <c r="FT14" s="15">
        <v>0.0</v>
      </c>
      <c r="FU14" s="15">
        <v>7.3</v>
      </c>
      <c r="FV14" s="15">
        <v>2.0</v>
      </c>
      <c r="FW14" s="15">
        <v>0.0</v>
      </c>
      <c r="FX14" s="15" t="s">
        <v>401</v>
      </c>
      <c r="FY14" s="15">
        <v>25.0</v>
      </c>
      <c r="FZ14" s="15">
        <v>1.5</v>
      </c>
      <c r="GA14" s="15">
        <v>34.5</v>
      </c>
      <c r="GB14" s="15">
        <v>8.1</v>
      </c>
      <c r="GC14" s="15">
        <v>74.0</v>
      </c>
      <c r="GD14" s="15">
        <v>7.3</v>
      </c>
      <c r="GE14" s="15">
        <v>13.7</v>
      </c>
      <c r="GF14" s="15">
        <v>28.0</v>
      </c>
      <c r="GG14" s="15">
        <f t="shared" si="20"/>
        <v>0.6216216216</v>
      </c>
      <c r="GH14" s="15">
        <v>66.0</v>
      </c>
      <c r="GI14" s="15">
        <v>1.7</v>
      </c>
      <c r="GJ14" s="15" t="s">
        <v>222</v>
      </c>
      <c r="GK14" s="15">
        <v>22.0</v>
      </c>
      <c r="GL14" s="15" t="s">
        <v>222</v>
      </c>
      <c r="GM14" s="15">
        <v>28.0</v>
      </c>
      <c r="GN14" s="15">
        <v>3.8</v>
      </c>
      <c r="GO14" s="15">
        <v>12.2</v>
      </c>
      <c r="GP14" s="16">
        <v>45142.0</v>
      </c>
      <c r="GQ14" s="15">
        <v>66.0</v>
      </c>
      <c r="GR14" s="15">
        <v>1.7</v>
      </c>
      <c r="GS14" s="15" t="s">
        <v>222</v>
      </c>
      <c r="GT14" s="15">
        <v>22.5</v>
      </c>
      <c r="GU14" s="15" t="s">
        <v>222</v>
      </c>
      <c r="GV14" s="15" t="s">
        <v>222</v>
      </c>
      <c r="GW14" s="15" t="s">
        <v>222</v>
      </c>
      <c r="GX14" s="15" t="s">
        <v>222</v>
      </c>
      <c r="GY14" s="15" t="s">
        <v>222</v>
      </c>
      <c r="GZ14" s="15" t="s">
        <v>222</v>
      </c>
      <c r="HA14" s="15" t="s">
        <v>222</v>
      </c>
      <c r="HB14" s="15" t="s">
        <v>222</v>
      </c>
      <c r="HC14" s="15" t="s">
        <v>222</v>
      </c>
      <c r="HD14" s="15" t="s">
        <v>222</v>
      </c>
      <c r="HE14" s="15" t="s">
        <v>222</v>
      </c>
      <c r="HF14" s="15" t="s">
        <v>222</v>
      </c>
      <c r="HG14" s="15" t="s">
        <v>222</v>
      </c>
      <c r="HH14" s="15" t="s">
        <v>222</v>
      </c>
      <c r="HI14" s="15" t="s">
        <v>222</v>
      </c>
      <c r="HJ14" s="15" t="s">
        <v>222</v>
      </c>
      <c r="HK14" s="15" t="s">
        <v>301</v>
      </c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</row>
    <row r="15">
      <c r="A15" s="27" t="s">
        <v>218</v>
      </c>
      <c r="B15" s="15" t="s">
        <v>402</v>
      </c>
      <c r="C15" s="15">
        <v>2.882973E7</v>
      </c>
      <c r="D15" s="16">
        <v>19221.0</v>
      </c>
      <c r="E15" s="16">
        <v>45137.0</v>
      </c>
      <c r="F15" s="16">
        <v>45162.0</v>
      </c>
      <c r="G15" s="16">
        <v>45138.0</v>
      </c>
      <c r="H15" s="15">
        <f t="shared" si="1"/>
        <v>71.00547945</v>
      </c>
      <c r="I15" s="15">
        <v>1.0</v>
      </c>
      <c r="J15" s="15">
        <f t="shared" si="2"/>
        <v>25</v>
      </c>
      <c r="K15" s="15">
        <v>0.0</v>
      </c>
      <c r="L15" s="15">
        <v>70.0</v>
      </c>
      <c r="M15" s="15">
        <v>1.72</v>
      </c>
      <c r="N15" s="17">
        <f t="shared" si="3"/>
        <v>23.66143862</v>
      </c>
      <c r="O15" s="15">
        <v>2.0</v>
      </c>
      <c r="P15" s="15" t="s">
        <v>403</v>
      </c>
      <c r="Q15" s="15">
        <v>0.0</v>
      </c>
      <c r="R15" s="15">
        <v>0.0</v>
      </c>
      <c r="S15" s="15" t="s">
        <v>404</v>
      </c>
      <c r="T15" s="15">
        <v>0.0</v>
      </c>
      <c r="U15" s="15">
        <v>0.0</v>
      </c>
      <c r="V15" s="15">
        <v>0.0</v>
      </c>
      <c r="W15" s="15">
        <v>1.0</v>
      </c>
      <c r="X15" s="18">
        <v>0.5750000000000001</v>
      </c>
      <c r="Y15" s="18">
        <v>0.7576388888888889</v>
      </c>
      <c r="Z15" s="19">
        <f t="shared" si="4"/>
        <v>0.1826388889</v>
      </c>
      <c r="AA15" s="18">
        <f t="shared" si="5"/>
        <v>263</v>
      </c>
      <c r="AB15" s="15">
        <v>2.0</v>
      </c>
      <c r="AC15" s="15">
        <v>0.0</v>
      </c>
      <c r="AD15" s="15" t="s">
        <v>222</v>
      </c>
      <c r="AE15" s="15" t="s">
        <v>222</v>
      </c>
      <c r="AF15" s="15">
        <v>0.0</v>
      </c>
      <c r="AG15" s="15" t="s">
        <v>224</v>
      </c>
      <c r="AH15" s="15" t="s">
        <v>222</v>
      </c>
      <c r="AI15" s="15">
        <v>0.0</v>
      </c>
      <c r="AJ15" s="15">
        <v>1.0</v>
      </c>
      <c r="AK15" s="15">
        <v>0.0</v>
      </c>
      <c r="AL15" s="15" t="s">
        <v>222</v>
      </c>
      <c r="AM15" s="15" t="s">
        <v>222</v>
      </c>
      <c r="AN15" s="15" t="s">
        <v>222</v>
      </c>
      <c r="AO15" s="15">
        <v>1.0</v>
      </c>
      <c r="AP15" s="15" t="s">
        <v>405</v>
      </c>
      <c r="AQ15" s="16">
        <v>45149.0</v>
      </c>
      <c r="AR15" s="15">
        <f>AQ15-G15</f>
        <v>11</v>
      </c>
      <c r="AS15" s="15">
        <v>0.0</v>
      </c>
      <c r="AT15" s="15" t="s">
        <v>222</v>
      </c>
      <c r="AU15" s="15" t="s">
        <v>222</v>
      </c>
      <c r="AV15" s="15" t="s">
        <v>222</v>
      </c>
      <c r="AW15" s="15" t="s">
        <v>295</v>
      </c>
      <c r="AX15" s="15" t="s">
        <v>225</v>
      </c>
      <c r="AY15" s="15">
        <v>0.0</v>
      </c>
      <c r="AZ15" s="15">
        <v>1.0</v>
      </c>
      <c r="BA15" s="15">
        <v>2.0</v>
      </c>
      <c r="BB15" s="15" t="s">
        <v>406</v>
      </c>
      <c r="BC15" s="15" t="s">
        <v>407</v>
      </c>
      <c r="BD15" s="15" t="s">
        <v>228</v>
      </c>
      <c r="BE15" s="15" t="s">
        <v>222</v>
      </c>
      <c r="BF15" s="15">
        <v>1.7</v>
      </c>
      <c r="BG15" s="15" t="s">
        <v>249</v>
      </c>
      <c r="BH15" s="15">
        <v>0.0</v>
      </c>
      <c r="BI15" s="15">
        <v>0.0</v>
      </c>
      <c r="BJ15" s="15" t="s">
        <v>222</v>
      </c>
      <c r="BK15" s="15" t="s">
        <v>376</v>
      </c>
      <c r="BL15" s="15">
        <v>1.0</v>
      </c>
      <c r="BM15" s="15" t="s">
        <v>408</v>
      </c>
      <c r="BN15" s="15">
        <v>1.0</v>
      </c>
      <c r="BO15" s="15">
        <v>8.0</v>
      </c>
      <c r="BP15" s="15" t="s">
        <v>222</v>
      </c>
      <c r="BQ15" s="15" t="s">
        <v>222</v>
      </c>
      <c r="BR15" s="15" t="s">
        <v>222</v>
      </c>
      <c r="BS15" s="15">
        <v>0.0</v>
      </c>
      <c r="BT15" s="15" t="s">
        <v>222</v>
      </c>
      <c r="BU15" s="15" t="s">
        <v>222</v>
      </c>
      <c r="BV15" s="15" t="s">
        <v>222</v>
      </c>
      <c r="BW15" s="15">
        <v>0.0</v>
      </c>
      <c r="BX15" s="15">
        <v>0.0</v>
      </c>
      <c r="BY15" s="15">
        <v>33.0</v>
      </c>
      <c r="BZ15" s="15">
        <f t="shared" si="6"/>
        <v>0</v>
      </c>
      <c r="CA15" s="15">
        <v>0.0</v>
      </c>
      <c r="CB15" s="15">
        <v>1.0</v>
      </c>
      <c r="CC15" s="15">
        <v>1.0</v>
      </c>
      <c r="CD15" s="15" t="s">
        <v>224</v>
      </c>
      <c r="CE15" s="15">
        <v>1.0</v>
      </c>
      <c r="CF15" s="15" t="s">
        <v>224</v>
      </c>
      <c r="CG15" s="15">
        <v>141.0</v>
      </c>
      <c r="CH15" s="15">
        <v>11.5</v>
      </c>
      <c r="CI15" s="15" t="s">
        <v>409</v>
      </c>
      <c r="CJ15" s="15" t="s">
        <v>410</v>
      </c>
      <c r="CK15" s="15" t="s">
        <v>411</v>
      </c>
      <c r="CL15" s="15" t="s">
        <v>234</v>
      </c>
      <c r="CM15" s="16">
        <v>45142.0</v>
      </c>
      <c r="CN15" s="15">
        <f t="shared" si="23"/>
        <v>4</v>
      </c>
      <c r="CO15" s="15">
        <v>10.1</v>
      </c>
      <c r="CP15" s="15">
        <v>300.0</v>
      </c>
      <c r="CQ15" s="15">
        <v>0.0</v>
      </c>
      <c r="CR15" s="15">
        <v>0.0</v>
      </c>
      <c r="CS15" s="15">
        <v>0.0</v>
      </c>
      <c r="CT15" s="15">
        <v>0.0</v>
      </c>
      <c r="CU15" s="15">
        <v>0.0</v>
      </c>
      <c r="CV15" s="15" t="s">
        <v>299</v>
      </c>
      <c r="CW15" s="16">
        <v>45141.0</v>
      </c>
      <c r="CX15" s="15">
        <v>400.0</v>
      </c>
      <c r="CY15" s="15">
        <f t="shared" si="7"/>
        <v>16.93333333</v>
      </c>
      <c r="CZ15" s="15">
        <v>1016.0</v>
      </c>
      <c r="DA15" s="15">
        <f t="shared" si="8"/>
        <v>1.56</v>
      </c>
      <c r="DB15" s="15">
        <v>93.6</v>
      </c>
      <c r="DC15" s="15">
        <v>1.0</v>
      </c>
      <c r="DD15" s="15">
        <v>1.0</v>
      </c>
      <c r="DE15" s="16">
        <v>45143.0</v>
      </c>
      <c r="DF15" s="15">
        <v>1000.0</v>
      </c>
      <c r="DG15" s="15">
        <f t="shared" si="9"/>
        <v>0.305</v>
      </c>
      <c r="DH15" s="15">
        <v>18.3</v>
      </c>
      <c r="DI15" s="15">
        <f t="shared" si="22"/>
        <v>0.2016666667</v>
      </c>
      <c r="DJ15" s="15">
        <v>12.1</v>
      </c>
      <c r="DK15" s="15">
        <v>0.0</v>
      </c>
      <c r="DL15" s="15">
        <v>1.0</v>
      </c>
      <c r="DM15" s="15">
        <v>1.0</v>
      </c>
      <c r="DN15" s="15">
        <v>0.0</v>
      </c>
      <c r="DO15" s="15">
        <v>1.0</v>
      </c>
      <c r="DP15" s="15">
        <v>2.0</v>
      </c>
      <c r="DQ15" s="15">
        <v>0.0</v>
      </c>
      <c r="DR15" s="15">
        <v>1.0</v>
      </c>
      <c r="DS15" s="15" t="s">
        <v>412</v>
      </c>
      <c r="DT15" s="15">
        <v>1.0</v>
      </c>
      <c r="DU15" s="15" t="s">
        <v>413</v>
      </c>
      <c r="DV15" s="15">
        <v>0.0</v>
      </c>
      <c r="DW15" s="15" t="s">
        <v>222</v>
      </c>
      <c r="DX15" s="15">
        <v>0.0</v>
      </c>
      <c r="DY15" s="15" t="s">
        <v>222</v>
      </c>
      <c r="DZ15" s="15">
        <v>0.0</v>
      </c>
      <c r="EA15" s="15">
        <v>0.0</v>
      </c>
      <c r="EB15" s="15">
        <v>0.0</v>
      </c>
      <c r="EC15" s="15">
        <v>0.0</v>
      </c>
      <c r="ED15" s="15">
        <v>0.0</v>
      </c>
      <c r="EE15" s="15" t="s">
        <v>390</v>
      </c>
      <c r="EF15" s="16">
        <v>45141.0</v>
      </c>
      <c r="EG15" s="15">
        <v>0.0</v>
      </c>
      <c r="EH15" s="15">
        <f>EF15-G15</f>
        <v>3</v>
      </c>
      <c r="EI15" s="15">
        <v>0.0</v>
      </c>
      <c r="EJ15" s="15" t="s">
        <v>222</v>
      </c>
      <c r="EK15" s="15" t="s">
        <v>222</v>
      </c>
      <c r="EL15" s="15" t="s">
        <v>222</v>
      </c>
      <c r="EM15" s="15" t="s">
        <v>222</v>
      </c>
      <c r="EN15" s="15">
        <v>0.0</v>
      </c>
      <c r="EO15" s="15" t="s">
        <v>222</v>
      </c>
      <c r="EP15" s="15" t="s">
        <v>222</v>
      </c>
      <c r="EQ15" s="15" t="s">
        <v>222</v>
      </c>
      <c r="ER15" s="16">
        <v>45141.0</v>
      </c>
      <c r="ES15" s="16">
        <v>45226.0</v>
      </c>
      <c r="ET15" s="15">
        <f t="shared" si="11"/>
        <v>3</v>
      </c>
      <c r="EU15" s="15">
        <f t="shared" si="12"/>
        <v>85</v>
      </c>
      <c r="EV15" s="16">
        <v>45144.0</v>
      </c>
      <c r="EW15" s="15">
        <f t="shared" si="13"/>
        <v>6</v>
      </c>
      <c r="EX15" s="15">
        <v>0.0</v>
      </c>
      <c r="EY15" s="15">
        <v>0.0</v>
      </c>
      <c r="EZ15" s="15">
        <v>0.0</v>
      </c>
      <c r="FA15" s="15">
        <v>1.0</v>
      </c>
      <c r="FB15" s="15" t="s">
        <v>236</v>
      </c>
      <c r="FC15" s="20">
        <v>45377.0</v>
      </c>
      <c r="FD15" s="15" t="s">
        <v>222</v>
      </c>
      <c r="FE15" s="15" t="s">
        <v>222</v>
      </c>
      <c r="FF15" s="16" t="str">
        <f t="shared" si="14"/>
        <v>#VALUE!</v>
      </c>
      <c r="FG15" s="15" t="s">
        <v>222</v>
      </c>
      <c r="FH15" s="15">
        <v>0.0</v>
      </c>
      <c r="FI15" s="15" t="s">
        <v>222</v>
      </c>
      <c r="FJ15" s="15" t="s">
        <v>222</v>
      </c>
      <c r="FK15" s="15">
        <f t="shared" si="15"/>
        <v>240</v>
      </c>
      <c r="FL15" s="15">
        <v>0.0</v>
      </c>
      <c r="FM15" s="15">
        <v>0.0</v>
      </c>
      <c r="FN15" s="16" t="s">
        <v>222</v>
      </c>
      <c r="FO15" s="15" t="s">
        <v>222</v>
      </c>
      <c r="FP15" s="15">
        <v>1.0</v>
      </c>
      <c r="FQ15" s="15" t="s">
        <v>365</v>
      </c>
      <c r="FR15" s="16">
        <v>45157.0</v>
      </c>
      <c r="FS15" s="15">
        <f t="shared" si="16"/>
        <v>19</v>
      </c>
      <c r="FT15" s="15">
        <v>0.0</v>
      </c>
      <c r="FU15" s="15">
        <v>4.0</v>
      </c>
      <c r="FV15" s="15">
        <v>0.0</v>
      </c>
      <c r="FW15" s="15">
        <v>0.0</v>
      </c>
      <c r="FX15" s="15" t="s">
        <v>334</v>
      </c>
      <c r="FY15" s="15">
        <v>18.0</v>
      </c>
      <c r="FZ15" s="15" t="s">
        <v>222</v>
      </c>
      <c r="GA15" s="15">
        <v>32.1</v>
      </c>
      <c r="GB15" s="15" t="s">
        <v>222</v>
      </c>
      <c r="GC15" s="15">
        <v>124.0</v>
      </c>
      <c r="GD15" s="15">
        <v>4.0</v>
      </c>
      <c r="GE15" s="15">
        <v>13.2</v>
      </c>
      <c r="GF15" s="15">
        <v>42.8</v>
      </c>
      <c r="GG15" s="15">
        <f t="shared" si="20"/>
        <v>0.6548387097</v>
      </c>
      <c r="GH15" s="15">
        <v>64.0</v>
      </c>
      <c r="GI15" s="15">
        <v>1.11</v>
      </c>
      <c r="GJ15" s="15">
        <v>4.8</v>
      </c>
      <c r="GK15" s="15">
        <v>40.4</v>
      </c>
      <c r="GL15" s="15">
        <v>23.0</v>
      </c>
      <c r="GM15" s="15">
        <v>42.8</v>
      </c>
      <c r="GN15" s="15">
        <v>4.5</v>
      </c>
      <c r="GO15" s="15">
        <v>19.0</v>
      </c>
      <c r="GP15" s="16">
        <v>45180.0</v>
      </c>
      <c r="GQ15" s="15">
        <v>64.0</v>
      </c>
      <c r="GR15" s="15">
        <v>0.89</v>
      </c>
      <c r="GS15" s="15">
        <v>5.1</v>
      </c>
      <c r="GT15" s="15">
        <v>40.4</v>
      </c>
      <c r="GU15" s="15">
        <v>23.0</v>
      </c>
      <c r="GV15" s="15">
        <v>67.0</v>
      </c>
      <c r="GW15" s="15">
        <v>0.89</v>
      </c>
      <c r="GX15" s="15">
        <v>5.1</v>
      </c>
      <c r="GY15" s="15">
        <v>39.6</v>
      </c>
      <c r="GZ15" s="15" t="s">
        <v>222</v>
      </c>
      <c r="HA15" s="15">
        <v>53.0</v>
      </c>
      <c r="HB15" s="15" t="s">
        <v>222</v>
      </c>
      <c r="HC15" s="15">
        <v>21.1</v>
      </c>
      <c r="HD15" s="15">
        <v>0.0</v>
      </c>
      <c r="HE15" s="15">
        <v>0.0</v>
      </c>
      <c r="HF15" s="15">
        <v>54.3</v>
      </c>
      <c r="HG15" s="15">
        <v>187.0</v>
      </c>
      <c r="HH15" s="15">
        <v>314.0</v>
      </c>
      <c r="HI15" s="15">
        <v>325.0</v>
      </c>
      <c r="HJ15" s="15">
        <v>161.0</v>
      </c>
      <c r="HK15" s="15" t="s">
        <v>301</v>
      </c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</row>
    <row r="16">
      <c r="A16" s="27" t="s">
        <v>218</v>
      </c>
      <c r="B16" s="15" t="s">
        <v>414</v>
      </c>
      <c r="C16" s="15">
        <v>3.1110105E7</v>
      </c>
      <c r="D16" s="16">
        <v>19988.0</v>
      </c>
      <c r="E16" s="16">
        <v>45153.0</v>
      </c>
      <c r="F16" s="16">
        <v>45180.0</v>
      </c>
      <c r="G16" s="16">
        <v>45154.0</v>
      </c>
      <c r="H16" s="15">
        <f t="shared" si="1"/>
        <v>68.94794521</v>
      </c>
      <c r="I16" s="15">
        <v>0.0</v>
      </c>
      <c r="J16" s="15">
        <f t="shared" si="2"/>
        <v>27</v>
      </c>
      <c r="K16" s="15">
        <v>1.0</v>
      </c>
      <c r="L16" s="15">
        <v>73.0</v>
      </c>
      <c r="M16" s="15">
        <v>1.67</v>
      </c>
      <c r="N16" s="17">
        <f t="shared" si="3"/>
        <v>26.17519452</v>
      </c>
      <c r="O16" s="15">
        <v>2.0</v>
      </c>
      <c r="P16" s="15" t="s">
        <v>415</v>
      </c>
      <c r="Q16" s="15">
        <v>1.0</v>
      </c>
      <c r="R16" s="15">
        <v>1.0</v>
      </c>
      <c r="S16" s="15" t="s">
        <v>416</v>
      </c>
      <c r="T16" s="15">
        <v>1.0</v>
      </c>
      <c r="U16" s="15">
        <v>0.0</v>
      </c>
      <c r="V16" s="15">
        <v>0.0</v>
      </c>
      <c r="W16" s="15">
        <v>1.0</v>
      </c>
      <c r="X16" s="18">
        <v>0.4048611111111111</v>
      </c>
      <c r="Y16" s="18">
        <v>0.638888888888889</v>
      </c>
      <c r="Z16" s="19">
        <f t="shared" si="4"/>
        <v>0.2340277778</v>
      </c>
      <c r="AA16" s="18">
        <f t="shared" si="5"/>
        <v>337</v>
      </c>
      <c r="AB16" s="15">
        <v>2.0</v>
      </c>
      <c r="AC16" s="15">
        <v>0.0</v>
      </c>
      <c r="AD16" s="15" t="s">
        <v>222</v>
      </c>
      <c r="AE16" s="15" t="s">
        <v>222</v>
      </c>
      <c r="AF16" s="15">
        <v>0.0</v>
      </c>
      <c r="AG16" s="15" t="s">
        <v>224</v>
      </c>
      <c r="AH16" s="15" t="s">
        <v>417</v>
      </c>
      <c r="AI16" s="15">
        <v>0.0</v>
      </c>
      <c r="AJ16" s="15">
        <v>1.0</v>
      </c>
      <c r="AK16" s="15">
        <v>0.0</v>
      </c>
      <c r="AL16" s="15" t="s">
        <v>222</v>
      </c>
      <c r="AM16" s="15" t="s">
        <v>222</v>
      </c>
      <c r="AN16" s="15" t="s">
        <v>222</v>
      </c>
      <c r="AO16" s="15">
        <v>0.0</v>
      </c>
      <c r="AP16" s="15" t="s">
        <v>222</v>
      </c>
      <c r="AQ16" s="15" t="s">
        <v>222</v>
      </c>
      <c r="AR16" s="15" t="s">
        <v>222</v>
      </c>
      <c r="AS16" s="15">
        <v>0.0</v>
      </c>
      <c r="AT16" s="15" t="s">
        <v>222</v>
      </c>
      <c r="AU16" s="15" t="s">
        <v>222</v>
      </c>
      <c r="AV16" s="15" t="s">
        <v>222</v>
      </c>
      <c r="AW16" s="15" t="s">
        <v>295</v>
      </c>
      <c r="AX16" s="15" t="s">
        <v>225</v>
      </c>
      <c r="AY16" s="15">
        <v>0.0</v>
      </c>
      <c r="AZ16" s="15">
        <v>1.0</v>
      </c>
      <c r="BA16" s="15">
        <v>2.0</v>
      </c>
      <c r="BB16" s="15" t="s">
        <v>418</v>
      </c>
      <c r="BC16" s="15" t="s">
        <v>419</v>
      </c>
      <c r="BD16" s="15" t="s">
        <v>228</v>
      </c>
      <c r="BE16" s="15" t="s">
        <v>222</v>
      </c>
      <c r="BF16" s="15">
        <v>4.5</v>
      </c>
      <c r="BG16" s="15">
        <v>3.0</v>
      </c>
      <c r="BH16" s="15">
        <v>2.0</v>
      </c>
      <c r="BI16" s="15">
        <v>0.0</v>
      </c>
      <c r="BJ16" s="15" t="s">
        <v>222</v>
      </c>
      <c r="BK16" s="15">
        <v>3.0</v>
      </c>
      <c r="BL16" s="15">
        <v>1.0</v>
      </c>
      <c r="BM16" s="15" t="s">
        <v>420</v>
      </c>
      <c r="BN16" s="15">
        <v>1.0</v>
      </c>
      <c r="BO16" s="15">
        <v>2.0</v>
      </c>
      <c r="BP16" s="15" t="s">
        <v>222</v>
      </c>
      <c r="BQ16" s="15" t="s">
        <v>222</v>
      </c>
      <c r="BR16" s="15" t="s">
        <v>222</v>
      </c>
      <c r="BS16" s="15">
        <v>0.0</v>
      </c>
      <c r="BT16" s="15" t="s">
        <v>222</v>
      </c>
      <c r="BU16" s="15" t="s">
        <v>222</v>
      </c>
      <c r="BV16" s="15" t="s">
        <v>222</v>
      </c>
      <c r="BW16" s="15">
        <v>1.0</v>
      </c>
      <c r="BX16" s="15">
        <v>4.0</v>
      </c>
      <c r="BY16" s="15">
        <v>31.0</v>
      </c>
      <c r="BZ16" s="15">
        <f t="shared" si="6"/>
        <v>0.1290322581</v>
      </c>
      <c r="CA16" s="15">
        <v>1.0</v>
      </c>
      <c r="CB16" s="15">
        <v>1.0</v>
      </c>
      <c r="CC16" s="15">
        <v>1.0</v>
      </c>
      <c r="CD16" s="15" t="s">
        <v>224</v>
      </c>
      <c r="CE16" s="15">
        <v>1.0</v>
      </c>
      <c r="CF16" s="15" t="s">
        <v>224</v>
      </c>
      <c r="CG16" s="15">
        <v>26.0</v>
      </c>
      <c r="CH16" s="15">
        <v>13.8</v>
      </c>
      <c r="CI16" s="15" t="s">
        <v>421</v>
      </c>
      <c r="CJ16" s="15" t="s">
        <v>422</v>
      </c>
      <c r="CK16" s="15" t="s">
        <v>423</v>
      </c>
      <c r="CL16" s="15" t="s">
        <v>424</v>
      </c>
      <c r="CM16" s="16">
        <v>45154.0</v>
      </c>
      <c r="CN16" s="15">
        <f t="shared" si="23"/>
        <v>0</v>
      </c>
      <c r="CO16" s="15">
        <v>12.0</v>
      </c>
      <c r="CP16" s="15">
        <v>400.0</v>
      </c>
      <c r="CQ16" s="15">
        <v>2.0</v>
      </c>
      <c r="CR16" s="15">
        <v>0.0</v>
      </c>
      <c r="CS16" s="15">
        <v>0.0</v>
      </c>
      <c r="CT16" s="15">
        <v>0.0</v>
      </c>
      <c r="CU16" s="15">
        <v>0.0</v>
      </c>
      <c r="CV16" s="15" t="s">
        <v>321</v>
      </c>
      <c r="CW16" s="16">
        <v>45157.0</v>
      </c>
      <c r="CX16" s="15">
        <v>400.0</v>
      </c>
      <c r="CY16" s="15">
        <f t="shared" si="7"/>
        <v>0.1</v>
      </c>
      <c r="CZ16" s="15">
        <v>6.0</v>
      </c>
      <c r="DA16" s="15">
        <f t="shared" si="8"/>
        <v>0.195</v>
      </c>
      <c r="DB16" s="15">
        <v>11.7</v>
      </c>
      <c r="DC16" s="15">
        <v>0.0</v>
      </c>
      <c r="DD16" s="15">
        <v>0.0</v>
      </c>
      <c r="DE16" s="16">
        <v>45159.0</v>
      </c>
      <c r="DF16" s="15">
        <v>300.0</v>
      </c>
      <c r="DG16" s="15">
        <f t="shared" si="9"/>
        <v>0.1066666667</v>
      </c>
      <c r="DH16" s="15">
        <v>6.4</v>
      </c>
      <c r="DI16" s="15">
        <f t="shared" si="22"/>
        <v>0.1983333333</v>
      </c>
      <c r="DJ16" s="15">
        <v>11.9</v>
      </c>
      <c r="DK16" s="15">
        <v>0.0</v>
      </c>
      <c r="DL16" s="15">
        <v>0.0</v>
      </c>
      <c r="DM16" s="15">
        <v>1.0</v>
      </c>
      <c r="DN16" s="15">
        <v>0.0</v>
      </c>
      <c r="DO16" s="15">
        <v>0.0</v>
      </c>
      <c r="DP16" s="15">
        <v>0.0</v>
      </c>
      <c r="DQ16" s="15">
        <v>1.0</v>
      </c>
      <c r="DR16" s="15">
        <v>0.0</v>
      </c>
      <c r="DS16" s="15" t="s">
        <v>222</v>
      </c>
      <c r="DT16" s="15">
        <v>0.0</v>
      </c>
      <c r="DU16" s="15" t="s">
        <v>222</v>
      </c>
      <c r="DV16" s="15">
        <v>0.0</v>
      </c>
      <c r="DW16" s="15" t="s">
        <v>222</v>
      </c>
      <c r="DX16" s="15">
        <v>0.0</v>
      </c>
      <c r="DY16" s="15" t="s">
        <v>222</v>
      </c>
      <c r="DZ16" s="15">
        <v>0.0</v>
      </c>
      <c r="EA16" s="15">
        <v>0.0</v>
      </c>
      <c r="EB16" s="15">
        <v>0.0</v>
      </c>
      <c r="EC16" s="15">
        <v>0.0</v>
      </c>
      <c r="ED16" s="15">
        <v>0.0</v>
      </c>
      <c r="EE16" s="15" t="s">
        <v>222</v>
      </c>
      <c r="EF16" s="15" t="s">
        <v>222</v>
      </c>
      <c r="EG16" s="15">
        <v>0.0</v>
      </c>
      <c r="EH16" s="15" t="s">
        <v>222</v>
      </c>
      <c r="EI16" s="15">
        <v>1.0</v>
      </c>
      <c r="EJ16" s="16">
        <v>45159.0</v>
      </c>
      <c r="EK16" s="16">
        <v>45162.0</v>
      </c>
      <c r="EL16" s="15">
        <f t="shared" ref="EL16:EL17" si="25">EK16-EJ16</f>
        <v>3</v>
      </c>
      <c r="EM16" s="15">
        <v>0.0</v>
      </c>
      <c r="EN16" s="15">
        <v>1.0</v>
      </c>
      <c r="EO16" s="16">
        <v>45177.0</v>
      </c>
      <c r="EP16" s="15" t="s">
        <v>425</v>
      </c>
      <c r="EQ16" s="15">
        <v>1.0</v>
      </c>
      <c r="ER16" s="16">
        <v>45157.0</v>
      </c>
      <c r="ES16" s="16">
        <v>45260.0</v>
      </c>
      <c r="ET16" s="15">
        <f t="shared" si="11"/>
        <v>3</v>
      </c>
      <c r="EU16" s="15">
        <f t="shared" si="12"/>
        <v>103</v>
      </c>
      <c r="EV16" s="16">
        <v>45162.0</v>
      </c>
      <c r="EW16" s="15">
        <f t="shared" si="13"/>
        <v>8</v>
      </c>
      <c r="EX16" s="15">
        <v>2.0</v>
      </c>
      <c r="EY16" s="15">
        <v>0.0</v>
      </c>
      <c r="EZ16" s="15">
        <v>0.0</v>
      </c>
      <c r="FA16" s="15">
        <v>1.0</v>
      </c>
      <c r="FB16" s="15" t="s">
        <v>236</v>
      </c>
      <c r="FC16" s="20">
        <v>45613.0</v>
      </c>
      <c r="FD16" s="15" t="s">
        <v>426</v>
      </c>
      <c r="FE16" s="16">
        <v>45551.0</v>
      </c>
      <c r="FF16" s="15">
        <f t="shared" si="14"/>
        <v>397</v>
      </c>
      <c r="FG16" s="15" t="s">
        <v>311</v>
      </c>
      <c r="FH16" s="15">
        <v>0.0</v>
      </c>
      <c r="FI16" s="15" t="s">
        <v>222</v>
      </c>
      <c r="FJ16" s="15" t="s">
        <v>222</v>
      </c>
      <c r="FK16" s="15">
        <f t="shared" si="15"/>
        <v>460</v>
      </c>
      <c r="FL16" s="15">
        <v>1.0</v>
      </c>
      <c r="FM16" s="15" t="s">
        <v>348</v>
      </c>
      <c r="FN16" s="16">
        <v>45180.0</v>
      </c>
      <c r="FO16" s="15">
        <f t="shared" ref="FO16:FO27" si="26">FN16-G16</f>
        <v>26</v>
      </c>
      <c r="FP16" s="15">
        <v>1.0</v>
      </c>
      <c r="FQ16" s="15" t="s">
        <v>427</v>
      </c>
      <c r="FR16" s="16">
        <v>45176.0</v>
      </c>
      <c r="FS16" s="15">
        <f t="shared" si="16"/>
        <v>22</v>
      </c>
      <c r="FT16" s="15">
        <v>0.0</v>
      </c>
      <c r="FU16" s="15">
        <v>3.4</v>
      </c>
      <c r="FV16" s="15">
        <v>2.0</v>
      </c>
      <c r="FW16" s="15">
        <v>0.0</v>
      </c>
      <c r="FX16" s="15" t="s">
        <v>428</v>
      </c>
      <c r="FY16" s="15">
        <v>25.0</v>
      </c>
      <c r="FZ16" s="15">
        <v>1.55</v>
      </c>
      <c r="GA16" s="15">
        <v>39.0</v>
      </c>
      <c r="GB16" s="15">
        <v>6.2</v>
      </c>
      <c r="GC16" s="15">
        <v>95.4</v>
      </c>
      <c r="GD16" s="15">
        <v>3.4</v>
      </c>
      <c r="GE16" s="15">
        <v>16.1</v>
      </c>
      <c r="GF16" s="15">
        <v>13.0</v>
      </c>
      <c r="GG16" s="15">
        <f t="shared" si="20"/>
        <v>0.8637316562</v>
      </c>
      <c r="GH16" s="15">
        <v>72.0</v>
      </c>
      <c r="GI16" s="15">
        <v>0.75</v>
      </c>
      <c r="GJ16" s="15">
        <v>6.3</v>
      </c>
      <c r="GK16" s="15">
        <v>31.0</v>
      </c>
      <c r="GL16" s="15">
        <v>6.5</v>
      </c>
      <c r="GM16" s="15">
        <v>13.0</v>
      </c>
      <c r="GN16" s="15">
        <v>2.7</v>
      </c>
      <c r="GO16" s="15">
        <v>10.2</v>
      </c>
      <c r="GP16" s="16">
        <v>45217.0</v>
      </c>
      <c r="GQ16" s="15">
        <v>72.0</v>
      </c>
      <c r="GR16" s="15">
        <v>0.75</v>
      </c>
      <c r="GS16" s="15">
        <v>6.3</v>
      </c>
      <c r="GT16" s="15">
        <v>31.0</v>
      </c>
      <c r="GU16" s="15">
        <v>6.5</v>
      </c>
      <c r="GV16" s="15">
        <v>72.0</v>
      </c>
      <c r="GW16" s="15"/>
      <c r="GX16" s="15">
        <v>6.8</v>
      </c>
      <c r="GY16" s="15" t="s">
        <v>222</v>
      </c>
      <c r="GZ16" s="15" t="s">
        <v>222</v>
      </c>
      <c r="HA16" s="15"/>
      <c r="HB16" s="15"/>
      <c r="HC16" s="15"/>
      <c r="HD16" s="15"/>
      <c r="HE16" s="15"/>
      <c r="HF16" s="15" t="s">
        <v>222</v>
      </c>
      <c r="HG16" s="15" t="s">
        <v>222</v>
      </c>
      <c r="HH16" s="15">
        <v>74.1</v>
      </c>
      <c r="HI16" s="15">
        <v>36.3</v>
      </c>
      <c r="HJ16" s="15" t="s">
        <v>222</v>
      </c>
      <c r="HK16" s="15" t="s">
        <v>301</v>
      </c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</row>
    <row r="17">
      <c r="A17" s="27" t="s">
        <v>218</v>
      </c>
      <c r="B17" s="15" t="s">
        <v>429</v>
      </c>
      <c r="C17" s="15">
        <v>2842777.0</v>
      </c>
      <c r="D17" s="16">
        <v>21927.0</v>
      </c>
      <c r="E17" s="16">
        <v>45201.0</v>
      </c>
      <c r="F17" s="16">
        <v>45217.0</v>
      </c>
      <c r="G17" s="16">
        <v>45201.0</v>
      </c>
      <c r="H17" s="15">
        <f t="shared" si="1"/>
        <v>63.76438356</v>
      </c>
      <c r="I17" s="15">
        <v>0.0</v>
      </c>
      <c r="J17" s="15">
        <f t="shared" si="2"/>
        <v>16</v>
      </c>
      <c r="K17" s="15">
        <v>1.0</v>
      </c>
      <c r="L17" s="15">
        <v>104.0</v>
      </c>
      <c r="M17" s="15">
        <v>1.67</v>
      </c>
      <c r="N17" s="17">
        <f t="shared" si="3"/>
        <v>37.29068808</v>
      </c>
      <c r="O17" s="15">
        <v>2.0</v>
      </c>
      <c r="P17" s="15" t="s">
        <v>430</v>
      </c>
      <c r="Q17" s="15">
        <v>0.0</v>
      </c>
      <c r="R17" s="15">
        <v>1.0</v>
      </c>
      <c r="S17" s="15" t="s">
        <v>431</v>
      </c>
      <c r="T17" s="15">
        <v>0.0</v>
      </c>
      <c r="U17" s="15">
        <v>1.0</v>
      </c>
      <c r="V17" s="15">
        <v>0.0</v>
      </c>
      <c r="W17" s="15">
        <v>1.0</v>
      </c>
      <c r="X17" s="18">
        <v>0.40902777777777777</v>
      </c>
      <c r="Y17" s="18">
        <v>0.6513888888888889</v>
      </c>
      <c r="Z17" s="19">
        <f t="shared" si="4"/>
        <v>0.2423611111</v>
      </c>
      <c r="AA17" s="18">
        <f t="shared" si="5"/>
        <v>349</v>
      </c>
      <c r="AB17" s="15">
        <v>1.0</v>
      </c>
      <c r="AC17" s="15">
        <v>0.0</v>
      </c>
      <c r="AD17" s="15" t="s">
        <v>222</v>
      </c>
      <c r="AE17" s="15" t="s">
        <v>222</v>
      </c>
      <c r="AF17" s="15">
        <v>0.0</v>
      </c>
      <c r="AG17" s="15" t="s">
        <v>224</v>
      </c>
      <c r="AH17" s="15" t="s">
        <v>222</v>
      </c>
      <c r="AI17" s="15">
        <v>0.0</v>
      </c>
      <c r="AJ17" s="15">
        <v>1.0</v>
      </c>
      <c r="AK17" s="15">
        <v>0.0</v>
      </c>
      <c r="AL17" s="15" t="s">
        <v>222</v>
      </c>
      <c r="AM17" s="15" t="s">
        <v>222</v>
      </c>
      <c r="AN17" s="15" t="s">
        <v>222</v>
      </c>
      <c r="AO17" s="15">
        <v>0.0</v>
      </c>
      <c r="AP17" s="15" t="s">
        <v>222</v>
      </c>
      <c r="AQ17" s="15" t="s">
        <v>222</v>
      </c>
      <c r="AR17" s="15" t="s">
        <v>222</v>
      </c>
      <c r="AS17" s="15">
        <v>0.0</v>
      </c>
      <c r="AT17" s="15" t="s">
        <v>222</v>
      </c>
      <c r="AU17" s="15" t="s">
        <v>222</v>
      </c>
      <c r="AV17" s="15" t="s">
        <v>222</v>
      </c>
      <c r="AW17" s="15" t="s">
        <v>432</v>
      </c>
      <c r="AX17" s="15" t="s">
        <v>225</v>
      </c>
      <c r="AY17" s="15">
        <v>0.0</v>
      </c>
      <c r="AZ17" s="15">
        <v>1.0</v>
      </c>
      <c r="BA17" s="15">
        <v>2.0</v>
      </c>
      <c r="BB17" s="15" t="s">
        <v>433</v>
      </c>
      <c r="BC17" s="15" t="s">
        <v>434</v>
      </c>
      <c r="BD17" s="15" t="s">
        <v>228</v>
      </c>
      <c r="BE17" s="15" t="s">
        <v>222</v>
      </c>
      <c r="BF17" s="15">
        <v>2.2</v>
      </c>
      <c r="BG17" s="15">
        <v>2.0</v>
      </c>
      <c r="BH17" s="15">
        <v>1.0</v>
      </c>
      <c r="BI17" s="15">
        <v>0.0</v>
      </c>
      <c r="BJ17" s="15" t="s">
        <v>222</v>
      </c>
      <c r="BK17" s="15" t="s">
        <v>229</v>
      </c>
      <c r="BL17" s="15">
        <v>1.0</v>
      </c>
      <c r="BM17" s="15" t="s">
        <v>435</v>
      </c>
      <c r="BN17" s="15">
        <v>1.0</v>
      </c>
      <c r="BO17" s="15">
        <v>9.0</v>
      </c>
      <c r="BP17" s="15" t="s">
        <v>222</v>
      </c>
      <c r="BQ17" s="15" t="s">
        <v>222</v>
      </c>
      <c r="BR17" s="15" t="s">
        <v>222</v>
      </c>
      <c r="BS17" s="15">
        <v>1.0</v>
      </c>
      <c r="BT17" s="15">
        <v>2.0</v>
      </c>
      <c r="BU17" s="15">
        <v>1.0</v>
      </c>
      <c r="BV17" s="15" t="s">
        <v>436</v>
      </c>
      <c r="BW17" s="15">
        <v>1.0</v>
      </c>
      <c r="BX17" s="15">
        <v>1.0</v>
      </c>
      <c r="BY17" s="15">
        <v>39.0</v>
      </c>
      <c r="BZ17" s="15">
        <f t="shared" si="6"/>
        <v>0.02564102564</v>
      </c>
      <c r="CA17" s="15">
        <v>1.0</v>
      </c>
      <c r="CB17" s="15">
        <v>1.0</v>
      </c>
      <c r="CC17" s="15">
        <v>1.0</v>
      </c>
      <c r="CD17" s="15" t="s">
        <v>224</v>
      </c>
      <c r="CE17" s="15">
        <v>1.0</v>
      </c>
      <c r="CF17" s="15" t="s">
        <v>224</v>
      </c>
      <c r="CG17" s="15">
        <v>7.0</v>
      </c>
      <c r="CH17" s="15">
        <v>13.7</v>
      </c>
      <c r="CI17" s="15" t="s">
        <v>437</v>
      </c>
      <c r="CJ17" s="15" t="s">
        <v>438</v>
      </c>
      <c r="CK17" s="15">
        <v>0.0</v>
      </c>
      <c r="CL17" s="15" t="s">
        <v>222</v>
      </c>
      <c r="CM17" s="15" t="s">
        <v>222</v>
      </c>
      <c r="CN17" s="15" t="s">
        <v>222</v>
      </c>
      <c r="CO17" s="15">
        <v>11.9</v>
      </c>
      <c r="CP17" s="15">
        <v>500.0</v>
      </c>
      <c r="CQ17" s="15">
        <v>0.0</v>
      </c>
      <c r="CR17" s="15">
        <v>0.0</v>
      </c>
      <c r="CS17" s="15">
        <v>0.0</v>
      </c>
      <c r="CT17" s="15">
        <v>0.0</v>
      </c>
      <c r="CU17" s="15">
        <v>0.0</v>
      </c>
      <c r="CV17" s="15" t="s">
        <v>439</v>
      </c>
      <c r="CW17" s="16">
        <v>45204.0</v>
      </c>
      <c r="CX17" s="15">
        <v>100.0</v>
      </c>
      <c r="CY17" s="15">
        <f t="shared" si="7"/>
        <v>5.316666667</v>
      </c>
      <c r="CZ17" s="15">
        <v>319.0</v>
      </c>
      <c r="DA17" s="15">
        <f t="shared" si="8"/>
        <v>0.3916666667</v>
      </c>
      <c r="DB17" s="15">
        <v>23.5</v>
      </c>
      <c r="DC17" s="15">
        <v>1.0</v>
      </c>
      <c r="DD17" s="15">
        <v>1.0</v>
      </c>
      <c r="DE17" s="16">
        <v>45206.0</v>
      </c>
      <c r="DF17" s="15">
        <v>300.0</v>
      </c>
      <c r="DG17" s="15">
        <f t="shared" si="9"/>
        <v>0.405</v>
      </c>
      <c r="DH17" s="15">
        <v>24.3</v>
      </c>
      <c r="DI17" s="15">
        <f t="shared" si="22"/>
        <v>0.3216666667</v>
      </c>
      <c r="DJ17" s="15">
        <v>19.3</v>
      </c>
      <c r="DK17" s="15">
        <v>0.0</v>
      </c>
      <c r="DL17" s="15">
        <v>0.0</v>
      </c>
      <c r="DM17" s="15">
        <v>1.0</v>
      </c>
      <c r="DN17" s="15">
        <v>0.0</v>
      </c>
      <c r="DO17" s="15">
        <v>1.0</v>
      </c>
      <c r="DP17" s="15">
        <v>1.0</v>
      </c>
      <c r="DQ17" s="15">
        <v>0.0</v>
      </c>
      <c r="DR17" s="15">
        <v>0.0</v>
      </c>
      <c r="DS17" s="15" t="s">
        <v>222</v>
      </c>
      <c r="DT17" s="15">
        <v>0.0</v>
      </c>
      <c r="DU17" s="15" t="s">
        <v>222</v>
      </c>
      <c r="DV17" s="15">
        <v>0.0</v>
      </c>
      <c r="DW17" s="15" t="s">
        <v>222</v>
      </c>
      <c r="DX17" s="15">
        <v>0.0</v>
      </c>
      <c r="DY17" s="15" t="s">
        <v>222</v>
      </c>
      <c r="DZ17" s="15">
        <v>0.0</v>
      </c>
      <c r="EA17" s="15">
        <v>0.0</v>
      </c>
      <c r="EB17" s="15">
        <v>0.0</v>
      </c>
      <c r="EC17" s="15">
        <v>0.0</v>
      </c>
      <c r="ED17" s="15">
        <v>0.0</v>
      </c>
      <c r="EE17" s="15" t="s">
        <v>440</v>
      </c>
      <c r="EF17" s="16">
        <v>45201.0</v>
      </c>
      <c r="EG17" s="15">
        <v>0.0</v>
      </c>
      <c r="EH17" s="15">
        <f t="shared" ref="EH17:EH18" si="27">EF17-G17</f>
        <v>0</v>
      </c>
      <c r="EI17" s="15">
        <v>0.0</v>
      </c>
      <c r="EJ17" s="16">
        <v>45212.0</v>
      </c>
      <c r="EK17" s="16">
        <v>45215.0</v>
      </c>
      <c r="EL17" s="15">
        <f t="shared" si="25"/>
        <v>3</v>
      </c>
      <c r="EM17" s="15">
        <v>1.0</v>
      </c>
      <c r="EN17" s="15">
        <v>0.0</v>
      </c>
      <c r="EO17" s="15" t="s">
        <v>222</v>
      </c>
      <c r="EP17" s="15" t="s">
        <v>222</v>
      </c>
      <c r="EQ17" s="15" t="s">
        <v>222</v>
      </c>
      <c r="ER17" s="16">
        <v>45204.0</v>
      </c>
      <c r="ES17" s="16">
        <v>45217.0</v>
      </c>
      <c r="ET17" s="15">
        <f t="shared" si="11"/>
        <v>3</v>
      </c>
      <c r="EU17" s="15">
        <f t="shared" si="12"/>
        <v>13</v>
      </c>
      <c r="EV17" s="16">
        <v>45203.0</v>
      </c>
      <c r="EW17" s="15">
        <f t="shared" si="13"/>
        <v>2</v>
      </c>
      <c r="EX17" s="15">
        <v>1.0</v>
      </c>
      <c r="EY17" s="15">
        <v>0.0</v>
      </c>
      <c r="EZ17" s="15">
        <v>0.0</v>
      </c>
      <c r="FA17" s="15">
        <v>1.0</v>
      </c>
      <c r="FB17" s="15" t="s">
        <v>236</v>
      </c>
      <c r="FC17" s="20">
        <v>45252.0</v>
      </c>
      <c r="FD17" s="15" t="s">
        <v>222</v>
      </c>
      <c r="FE17" s="15" t="s">
        <v>222</v>
      </c>
      <c r="FF17" s="16" t="str">
        <f t="shared" si="14"/>
        <v>#VALUE!</v>
      </c>
      <c r="FG17" s="15" t="s">
        <v>222</v>
      </c>
      <c r="FH17" s="15">
        <v>0.0</v>
      </c>
      <c r="FI17" s="15" t="s">
        <v>222</v>
      </c>
      <c r="FJ17" s="15" t="s">
        <v>222</v>
      </c>
      <c r="FK17" s="15">
        <f t="shared" si="15"/>
        <v>51</v>
      </c>
      <c r="FL17" s="15">
        <v>1.0</v>
      </c>
      <c r="FM17" s="15" t="s">
        <v>257</v>
      </c>
      <c r="FN17" s="16">
        <v>45207.0</v>
      </c>
      <c r="FO17" s="15">
        <f t="shared" si="26"/>
        <v>6</v>
      </c>
      <c r="FP17" s="15">
        <v>1.0</v>
      </c>
      <c r="FQ17" s="15" t="s">
        <v>365</v>
      </c>
      <c r="FR17" s="16">
        <v>45204.0</v>
      </c>
      <c r="FS17" s="15">
        <f t="shared" si="16"/>
        <v>3</v>
      </c>
      <c r="FT17" s="15">
        <v>0.0</v>
      </c>
      <c r="FU17" s="15">
        <v>8.1</v>
      </c>
      <c r="FV17" s="15">
        <v>2.0</v>
      </c>
      <c r="FW17" s="15">
        <v>0.0</v>
      </c>
      <c r="FX17" s="15" t="s">
        <v>441</v>
      </c>
      <c r="FY17" s="15">
        <v>24.5</v>
      </c>
      <c r="FZ17" s="15" t="s">
        <v>222</v>
      </c>
      <c r="GA17" s="15">
        <v>39.2</v>
      </c>
      <c r="GB17" s="15" t="s">
        <v>222</v>
      </c>
      <c r="GC17" s="15">
        <v>88.0</v>
      </c>
      <c r="GD17" s="15">
        <v>8.1</v>
      </c>
      <c r="GE17" s="15">
        <v>13.4</v>
      </c>
      <c r="GF17" s="15">
        <v>15.0</v>
      </c>
      <c r="GG17" s="15">
        <f t="shared" si="20"/>
        <v>0.8295454545</v>
      </c>
      <c r="GH17" s="15">
        <v>98.0</v>
      </c>
      <c r="GI17" s="15" t="s">
        <v>222</v>
      </c>
      <c r="GJ17" s="15">
        <v>5.6</v>
      </c>
      <c r="GK17" s="15" t="s">
        <v>222</v>
      </c>
      <c r="GL17" s="15">
        <v>2.7</v>
      </c>
      <c r="GM17" s="15">
        <v>15.0</v>
      </c>
      <c r="GN17" s="15">
        <v>4.9</v>
      </c>
      <c r="GO17" s="15">
        <v>14.3</v>
      </c>
      <c r="GP17" s="16">
        <v>45251.0</v>
      </c>
      <c r="GQ17" s="15">
        <v>98.0</v>
      </c>
      <c r="GR17" s="15" t="s">
        <v>222</v>
      </c>
      <c r="GS17" s="15">
        <v>5.6</v>
      </c>
      <c r="GT17" s="15" t="s">
        <v>222</v>
      </c>
      <c r="GU17" s="15">
        <v>2.7</v>
      </c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>
        <v>141.0</v>
      </c>
      <c r="HG17" s="15" t="s">
        <v>222</v>
      </c>
      <c r="HH17" s="15">
        <v>200.0</v>
      </c>
      <c r="HI17" s="15" t="s">
        <v>222</v>
      </c>
      <c r="HJ17" s="15">
        <v>112.0</v>
      </c>
      <c r="HK17" s="15" t="s">
        <v>239</v>
      </c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</row>
    <row r="18" ht="15.75" customHeight="1">
      <c r="A18" s="27" t="s">
        <v>218</v>
      </c>
      <c r="B18" s="15" t="s">
        <v>442</v>
      </c>
      <c r="C18" s="15">
        <v>1.363867E7</v>
      </c>
      <c r="D18" s="16">
        <v>24601.0</v>
      </c>
      <c r="E18" s="16">
        <v>45215.0</v>
      </c>
      <c r="F18" s="16">
        <v>45232.0</v>
      </c>
      <c r="G18" s="16">
        <v>45216.0</v>
      </c>
      <c r="H18" s="15">
        <f t="shared" si="1"/>
        <v>56.47945205</v>
      </c>
      <c r="I18" s="15">
        <v>0.0</v>
      </c>
      <c r="J18" s="15">
        <f t="shared" si="2"/>
        <v>17</v>
      </c>
      <c r="K18" s="15">
        <v>1.0</v>
      </c>
      <c r="L18" s="15">
        <v>44.0</v>
      </c>
      <c r="M18" s="15">
        <v>1.53</v>
      </c>
      <c r="N18" s="17">
        <f t="shared" si="3"/>
        <v>18.7961895</v>
      </c>
      <c r="O18" s="15">
        <v>3.0</v>
      </c>
      <c r="P18" s="15" t="s">
        <v>443</v>
      </c>
      <c r="Q18" s="15">
        <v>1.0</v>
      </c>
      <c r="R18" s="15">
        <v>0.0</v>
      </c>
      <c r="S18" s="15" t="s">
        <v>444</v>
      </c>
      <c r="T18" s="15">
        <v>0.0</v>
      </c>
      <c r="U18" s="15">
        <v>0.0</v>
      </c>
      <c r="V18" s="15">
        <v>0.0</v>
      </c>
      <c r="W18" s="15">
        <v>1.0</v>
      </c>
      <c r="X18" s="18">
        <v>0.4152777777777778</v>
      </c>
      <c r="Y18" s="18">
        <v>0.6215277777777778</v>
      </c>
      <c r="Z18" s="19">
        <f t="shared" si="4"/>
        <v>0.20625</v>
      </c>
      <c r="AA18" s="18">
        <f t="shared" si="5"/>
        <v>297</v>
      </c>
      <c r="AB18" s="15">
        <v>2.0</v>
      </c>
      <c r="AC18" s="15">
        <v>0.0</v>
      </c>
      <c r="AD18" s="15" t="s">
        <v>222</v>
      </c>
      <c r="AE18" s="15" t="s">
        <v>222</v>
      </c>
      <c r="AF18" s="15">
        <v>1.0</v>
      </c>
      <c r="AG18" s="15" t="s">
        <v>224</v>
      </c>
      <c r="AH18" s="15" t="s">
        <v>222</v>
      </c>
      <c r="AI18" s="15">
        <v>0.0</v>
      </c>
      <c r="AJ18" s="15">
        <v>1.0</v>
      </c>
      <c r="AK18" s="15">
        <v>1.0</v>
      </c>
      <c r="AL18" s="15">
        <v>1.0</v>
      </c>
      <c r="AM18" s="15">
        <v>1.0</v>
      </c>
      <c r="AN18" s="15"/>
      <c r="AO18" s="15">
        <v>0.0</v>
      </c>
      <c r="AP18" s="15" t="s">
        <v>222</v>
      </c>
      <c r="AQ18" s="15" t="s">
        <v>222</v>
      </c>
      <c r="AR18" s="15" t="s">
        <v>222</v>
      </c>
      <c r="AS18" s="15">
        <v>0.0</v>
      </c>
      <c r="AT18" s="15" t="s">
        <v>222</v>
      </c>
      <c r="AU18" s="15" t="s">
        <v>222</v>
      </c>
      <c r="AV18" s="15" t="s">
        <v>222</v>
      </c>
      <c r="AW18" s="15" t="s">
        <v>277</v>
      </c>
      <c r="AX18" s="15" t="s">
        <v>225</v>
      </c>
      <c r="AY18" s="15">
        <v>0.0</v>
      </c>
      <c r="AZ18" s="15">
        <v>1.0</v>
      </c>
      <c r="BA18" s="15">
        <v>2.0</v>
      </c>
      <c r="BB18" s="15" t="s">
        <v>445</v>
      </c>
      <c r="BC18" s="15" t="s">
        <v>446</v>
      </c>
      <c r="BD18" s="15" t="s">
        <v>228</v>
      </c>
      <c r="BE18" s="15" t="s">
        <v>222</v>
      </c>
      <c r="BF18" s="15">
        <v>3.0</v>
      </c>
      <c r="BG18" s="15">
        <v>2.0</v>
      </c>
      <c r="BH18" s="15">
        <v>1.0</v>
      </c>
      <c r="BI18" s="15">
        <v>0.0</v>
      </c>
      <c r="BJ18" s="15" t="s">
        <v>222</v>
      </c>
      <c r="BK18" s="15" t="s">
        <v>229</v>
      </c>
      <c r="BL18" s="15">
        <v>0.0</v>
      </c>
      <c r="BM18" s="15" t="s">
        <v>222</v>
      </c>
      <c r="BN18" s="15">
        <v>1.0</v>
      </c>
      <c r="BO18" s="15">
        <v>4.0</v>
      </c>
      <c r="BP18" s="15" t="s">
        <v>222</v>
      </c>
      <c r="BQ18" s="15" t="s">
        <v>222</v>
      </c>
      <c r="BR18" s="15" t="s">
        <v>222</v>
      </c>
      <c r="BS18" s="15">
        <v>0.0</v>
      </c>
      <c r="BT18" s="15" t="s">
        <v>222</v>
      </c>
      <c r="BU18" s="15" t="s">
        <v>222</v>
      </c>
      <c r="BV18" s="15" t="s">
        <v>222</v>
      </c>
      <c r="BW18" s="15">
        <v>1.0</v>
      </c>
      <c r="BX18" s="15">
        <v>3.0</v>
      </c>
      <c r="BY18" s="15">
        <v>37.0</v>
      </c>
      <c r="BZ18" s="15">
        <f t="shared" si="6"/>
        <v>0.08108108108</v>
      </c>
      <c r="CA18" s="15">
        <v>1.0</v>
      </c>
      <c r="CB18" s="15">
        <v>1.0</v>
      </c>
      <c r="CC18" s="15">
        <v>1.0</v>
      </c>
      <c r="CD18" s="15" t="s">
        <v>447</v>
      </c>
      <c r="CE18" s="15">
        <v>1.0</v>
      </c>
      <c r="CF18" s="15" t="s">
        <v>448</v>
      </c>
      <c r="CG18" s="15">
        <v>10.0</v>
      </c>
      <c r="CH18" s="15">
        <v>11.7</v>
      </c>
      <c r="CI18" s="15" t="s">
        <v>449</v>
      </c>
      <c r="CJ18" s="15" t="s">
        <v>222</v>
      </c>
      <c r="CK18" s="15" t="s">
        <v>450</v>
      </c>
      <c r="CL18" s="15" t="s">
        <v>424</v>
      </c>
      <c r="CM18" s="16">
        <v>45217.0</v>
      </c>
      <c r="CN18" s="15">
        <f>CM18-G18</f>
        <v>1</v>
      </c>
      <c r="CO18" s="15">
        <v>10.6</v>
      </c>
      <c r="CP18" s="15">
        <v>800.0</v>
      </c>
      <c r="CQ18" s="15">
        <v>5.0</v>
      </c>
      <c r="CR18" s="15">
        <v>0.0</v>
      </c>
      <c r="CS18" s="15">
        <v>0.0</v>
      </c>
      <c r="CT18" s="15">
        <v>1.0</v>
      </c>
      <c r="CU18" s="15">
        <v>3.0</v>
      </c>
      <c r="CV18" s="15" t="s">
        <v>451</v>
      </c>
      <c r="CW18" s="16">
        <v>45219.0</v>
      </c>
      <c r="CX18" s="15">
        <v>600.0</v>
      </c>
      <c r="CY18" s="15">
        <f t="shared" si="7"/>
        <v>0.05333333333</v>
      </c>
      <c r="CZ18" s="15">
        <v>3.2</v>
      </c>
      <c r="DA18" s="15">
        <f t="shared" si="8"/>
        <v>0.1133333333</v>
      </c>
      <c r="DB18" s="15">
        <v>6.8</v>
      </c>
      <c r="DC18" s="15">
        <v>0.0</v>
      </c>
      <c r="DD18" s="15">
        <v>0.0</v>
      </c>
      <c r="DE18" s="16">
        <v>45221.0</v>
      </c>
      <c r="DF18" s="15">
        <v>500.0</v>
      </c>
      <c r="DG18" s="15">
        <f t="shared" si="9"/>
        <v>0.09166666667</v>
      </c>
      <c r="DH18" s="15">
        <v>5.5</v>
      </c>
      <c r="DI18" s="15">
        <f t="shared" si="22"/>
        <v>0.1883333333</v>
      </c>
      <c r="DJ18" s="15">
        <v>11.3</v>
      </c>
      <c r="DK18" s="15">
        <v>0.0</v>
      </c>
      <c r="DL18" s="15">
        <v>1.0</v>
      </c>
      <c r="DM18" s="15">
        <v>1.0</v>
      </c>
      <c r="DN18" s="15">
        <v>0.0</v>
      </c>
      <c r="DO18" s="15">
        <v>0.0</v>
      </c>
      <c r="DP18" s="15">
        <v>0.0</v>
      </c>
      <c r="DQ18" s="15">
        <v>0.0</v>
      </c>
      <c r="DR18" s="15">
        <v>1.0</v>
      </c>
      <c r="DS18" s="15" t="s">
        <v>452</v>
      </c>
      <c r="DT18" s="15">
        <v>0.0</v>
      </c>
      <c r="DU18" s="15" t="s">
        <v>222</v>
      </c>
      <c r="DV18" s="15">
        <v>0.0</v>
      </c>
      <c r="DW18" s="15" t="s">
        <v>222</v>
      </c>
      <c r="DX18" s="15">
        <v>1.0</v>
      </c>
      <c r="DY18" s="15" t="s">
        <v>453</v>
      </c>
      <c r="DZ18" s="15">
        <v>0.0</v>
      </c>
      <c r="EA18" s="15">
        <v>0.0</v>
      </c>
      <c r="EB18" s="15">
        <v>1.0</v>
      </c>
      <c r="EC18" s="15">
        <v>0.0</v>
      </c>
      <c r="ED18" s="15">
        <v>0.0</v>
      </c>
      <c r="EE18" s="15" t="s">
        <v>440</v>
      </c>
      <c r="EF18" s="16">
        <v>45225.0</v>
      </c>
      <c r="EG18" s="15">
        <v>0.0</v>
      </c>
      <c r="EH18" s="15">
        <f t="shared" si="27"/>
        <v>9</v>
      </c>
      <c r="EI18" s="15">
        <v>0.0</v>
      </c>
      <c r="EJ18" s="15" t="s">
        <v>222</v>
      </c>
      <c r="EK18" s="15" t="s">
        <v>222</v>
      </c>
      <c r="EL18" s="15" t="s">
        <v>222</v>
      </c>
      <c r="EM18" s="15" t="s">
        <v>222</v>
      </c>
      <c r="EN18" s="15">
        <v>0.0</v>
      </c>
      <c r="EO18" s="15" t="s">
        <v>222</v>
      </c>
      <c r="EP18" s="15" t="s">
        <v>222</v>
      </c>
      <c r="EQ18" s="15" t="s">
        <v>222</v>
      </c>
      <c r="ER18" s="16">
        <v>45219.0</v>
      </c>
      <c r="ES18" s="15"/>
      <c r="ET18" s="15">
        <f t="shared" si="11"/>
        <v>3</v>
      </c>
      <c r="EU18" s="16">
        <f t="shared" si="12"/>
        <v>-45219</v>
      </c>
      <c r="EV18" s="16">
        <v>45223.0</v>
      </c>
      <c r="EW18" s="15">
        <f t="shared" si="13"/>
        <v>7</v>
      </c>
      <c r="EX18" s="15">
        <v>0.0</v>
      </c>
      <c r="EY18" s="15">
        <v>0.0</v>
      </c>
      <c r="EZ18" s="15">
        <v>0.0</v>
      </c>
      <c r="FA18" s="15">
        <v>1.0</v>
      </c>
      <c r="FB18" s="15" t="s">
        <v>236</v>
      </c>
      <c r="FC18" s="20">
        <v>45619.0</v>
      </c>
      <c r="FD18" s="15">
        <v>2.0</v>
      </c>
      <c r="FE18" s="16">
        <v>45496.0</v>
      </c>
      <c r="FF18" s="15">
        <f t="shared" si="14"/>
        <v>280</v>
      </c>
      <c r="FG18" s="15" t="s">
        <v>454</v>
      </c>
      <c r="FH18" s="15">
        <v>0.0</v>
      </c>
      <c r="FI18" s="15" t="s">
        <v>222</v>
      </c>
      <c r="FJ18" s="15" t="s">
        <v>222</v>
      </c>
      <c r="FK18" s="15">
        <f t="shared" si="15"/>
        <v>404</v>
      </c>
      <c r="FL18" s="15">
        <v>1.0</v>
      </c>
      <c r="FM18" s="15" t="s">
        <v>257</v>
      </c>
      <c r="FN18" s="16">
        <v>45221.0</v>
      </c>
      <c r="FO18" s="15">
        <f t="shared" si="26"/>
        <v>5</v>
      </c>
      <c r="FP18" s="15">
        <v>1.0</v>
      </c>
      <c r="FQ18" s="15" t="s">
        <v>365</v>
      </c>
      <c r="FR18" s="16">
        <v>45221.0</v>
      </c>
      <c r="FS18" s="15">
        <f t="shared" si="16"/>
        <v>5</v>
      </c>
      <c r="FT18" s="15">
        <v>0.0</v>
      </c>
      <c r="FU18" s="15">
        <v>7.0</v>
      </c>
      <c r="FV18" s="15">
        <v>2.0</v>
      </c>
      <c r="FW18" s="15">
        <v>0.0</v>
      </c>
      <c r="FX18" s="15" t="s">
        <v>300</v>
      </c>
      <c r="FY18" s="15">
        <v>23.0</v>
      </c>
      <c r="FZ18" s="15" t="s">
        <v>222</v>
      </c>
      <c r="GA18" s="15" t="s">
        <v>222</v>
      </c>
      <c r="GB18" s="15" t="s">
        <v>222</v>
      </c>
      <c r="GC18" s="15">
        <v>56.0</v>
      </c>
      <c r="GD18" s="15">
        <v>6.4</v>
      </c>
      <c r="GE18" s="15">
        <v>12.9</v>
      </c>
      <c r="GF18" s="15">
        <v>11.0</v>
      </c>
      <c r="GG18" s="15">
        <f t="shared" si="20"/>
        <v>0.8035714286</v>
      </c>
      <c r="GH18" s="15">
        <v>47.0</v>
      </c>
      <c r="GI18" s="15">
        <v>1.53</v>
      </c>
      <c r="GJ18" s="15">
        <v>6.7</v>
      </c>
      <c r="GK18" s="15">
        <v>43.9</v>
      </c>
      <c r="GL18" s="15">
        <v>205.0</v>
      </c>
      <c r="GM18" s="15">
        <v>11.0</v>
      </c>
      <c r="GN18" s="15">
        <v>4.4</v>
      </c>
      <c r="GO18" s="15">
        <v>12.8</v>
      </c>
      <c r="GP18" s="16">
        <v>45251.0</v>
      </c>
      <c r="GQ18" s="15">
        <v>47.0</v>
      </c>
      <c r="GR18" s="15">
        <v>1.53</v>
      </c>
      <c r="GS18" s="15">
        <v>6.7</v>
      </c>
      <c r="GT18" s="15">
        <v>43.9</v>
      </c>
      <c r="GU18" s="15">
        <v>205.0</v>
      </c>
      <c r="GV18" s="15"/>
      <c r="GW18" s="15"/>
      <c r="GX18" s="15"/>
      <c r="GY18" s="15"/>
      <c r="GZ18" s="15">
        <v>0.2</v>
      </c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 t="s">
        <v>239</v>
      </c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</row>
    <row r="19" ht="15.75" customHeight="1">
      <c r="A19" s="27" t="s">
        <v>218</v>
      </c>
      <c r="B19" s="15" t="s">
        <v>455</v>
      </c>
      <c r="C19" s="15">
        <v>2.2298154E7</v>
      </c>
      <c r="D19" s="16">
        <v>17979.0</v>
      </c>
      <c r="E19" s="16">
        <v>45235.0</v>
      </c>
      <c r="F19" s="16">
        <v>45243.0</v>
      </c>
      <c r="G19" s="16">
        <v>45236.0</v>
      </c>
      <c r="H19" s="15">
        <f t="shared" si="1"/>
        <v>74.67671233</v>
      </c>
      <c r="I19" s="15">
        <v>1.0</v>
      </c>
      <c r="J19" s="15">
        <f t="shared" si="2"/>
        <v>8</v>
      </c>
      <c r="K19" s="15">
        <v>0.0</v>
      </c>
      <c r="L19" s="15">
        <v>65.0</v>
      </c>
      <c r="M19" s="15">
        <v>1.72</v>
      </c>
      <c r="N19" s="17">
        <f t="shared" si="3"/>
        <v>21.97133586</v>
      </c>
      <c r="O19" s="15">
        <v>3.0</v>
      </c>
      <c r="P19" s="15" t="s">
        <v>456</v>
      </c>
      <c r="Q19" s="15">
        <v>0.0</v>
      </c>
      <c r="R19" s="15">
        <v>1.0</v>
      </c>
      <c r="S19" s="15" t="s">
        <v>222</v>
      </c>
      <c r="T19" s="15">
        <v>1.0</v>
      </c>
      <c r="U19" s="15">
        <v>0.0</v>
      </c>
      <c r="V19" s="15">
        <v>0.0</v>
      </c>
      <c r="W19" s="15">
        <v>1.0</v>
      </c>
      <c r="X19" s="18">
        <v>0.4930555555555556</v>
      </c>
      <c r="Y19" s="18">
        <v>0.6479166666666667</v>
      </c>
      <c r="Z19" s="19">
        <f t="shared" si="4"/>
        <v>0.1548611111</v>
      </c>
      <c r="AA19" s="18">
        <f t="shared" si="5"/>
        <v>223</v>
      </c>
      <c r="AB19" s="15">
        <v>2.0</v>
      </c>
      <c r="AC19" s="15">
        <v>0.0</v>
      </c>
      <c r="AD19" s="15" t="s">
        <v>222</v>
      </c>
      <c r="AE19" s="15" t="s">
        <v>222</v>
      </c>
      <c r="AF19" s="15">
        <v>0.0</v>
      </c>
      <c r="AG19" s="15" t="s">
        <v>457</v>
      </c>
      <c r="AH19" s="15" t="s">
        <v>458</v>
      </c>
      <c r="AI19" s="15">
        <v>0.0</v>
      </c>
      <c r="AJ19" s="15">
        <v>1.0</v>
      </c>
      <c r="AK19" s="15">
        <v>1.0</v>
      </c>
      <c r="AL19" s="15">
        <v>1.0</v>
      </c>
      <c r="AM19" s="15">
        <v>1.0</v>
      </c>
      <c r="AN19" s="15"/>
      <c r="AO19" s="15">
        <v>0.0</v>
      </c>
      <c r="AP19" s="15" t="s">
        <v>222</v>
      </c>
      <c r="AQ19" s="15" t="s">
        <v>222</v>
      </c>
      <c r="AR19" s="15" t="s">
        <v>222</v>
      </c>
      <c r="AS19" s="15">
        <v>0.0</v>
      </c>
      <c r="AT19" s="15" t="s">
        <v>222</v>
      </c>
      <c r="AU19" s="15" t="s">
        <v>222</v>
      </c>
      <c r="AV19" s="15" t="s">
        <v>222</v>
      </c>
      <c r="AW19" s="15" t="s">
        <v>459</v>
      </c>
      <c r="AX19" s="15" t="s">
        <v>225</v>
      </c>
      <c r="AY19" s="15">
        <v>0.0</v>
      </c>
      <c r="AZ19" s="15">
        <v>1.0</v>
      </c>
      <c r="BA19" s="15">
        <v>2.0</v>
      </c>
      <c r="BB19" s="15" t="s">
        <v>460</v>
      </c>
      <c r="BC19" s="15" t="s">
        <v>461</v>
      </c>
      <c r="BD19" s="15" t="s">
        <v>228</v>
      </c>
      <c r="BE19" s="15">
        <v>1.0</v>
      </c>
      <c r="BF19" s="15">
        <v>2.5</v>
      </c>
      <c r="BG19" s="15">
        <v>2.0</v>
      </c>
      <c r="BH19" s="15">
        <v>0.0</v>
      </c>
      <c r="BI19" s="15">
        <v>0.0</v>
      </c>
      <c r="BJ19" s="15" t="s">
        <v>222</v>
      </c>
      <c r="BK19" s="15">
        <v>2.0</v>
      </c>
      <c r="BL19" s="15">
        <v>1.0</v>
      </c>
      <c r="BM19" s="15" t="s">
        <v>462</v>
      </c>
      <c r="BN19" s="15">
        <v>1.0</v>
      </c>
      <c r="BO19" s="15">
        <v>4.0</v>
      </c>
      <c r="BP19" s="15" t="s">
        <v>222</v>
      </c>
      <c r="BQ19" s="15" t="s">
        <v>222</v>
      </c>
      <c r="BR19" s="15" t="s">
        <v>222</v>
      </c>
      <c r="BS19" s="15">
        <v>1.0</v>
      </c>
      <c r="BT19" s="15">
        <v>0.0</v>
      </c>
      <c r="BU19" s="15">
        <v>1.0</v>
      </c>
      <c r="BV19" s="15">
        <v>2.0</v>
      </c>
      <c r="BW19" s="15">
        <v>0.0</v>
      </c>
      <c r="BX19" s="15">
        <v>0.0</v>
      </c>
      <c r="BY19" s="15">
        <v>41.0</v>
      </c>
      <c r="BZ19" s="15">
        <f t="shared" si="6"/>
        <v>0</v>
      </c>
      <c r="CA19" s="15">
        <v>0.0</v>
      </c>
      <c r="CB19" s="15">
        <v>1.0</v>
      </c>
      <c r="CC19" s="15">
        <v>1.0</v>
      </c>
      <c r="CD19" s="15" t="s">
        <v>463</v>
      </c>
      <c r="CE19" s="15">
        <v>1.0</v>
      </c>
      <c r="CF19" s="15" t="s">
        <v>463</v>
      </c>
      <c r="CG19" s="15">
        <v>12.0</v>
      </c>
      <c r="CH19" s="15">
        <v>13.5</v>
      </c>
      <c r="CI19" s="15" t="s">
        <v>464</v>
      </c>
      <c r="CJ19" s="15"/>
      <c r="CK19" s="15">
        <v>0.0</v>
      </c>
      <c r="CL19" s="15" t="s">
        <v>222</v>
      </c>
      <c r="CM19" s="15" t="s">
        <v>222</v>
      </c>
      <c r="CN19" s="15" t="s">
        <v>222</v>
      </c>
      <c r="CO19" s="15">
        <v>11.4</v>
      </c>
      <c r="CP19" s="15">
        <v>200.0</v>
      </c>
      <c r="CQ19" s="15">
        <v>0.0</v>
      </c>
      <c r="CR19" s="15">
        <v>0.0</v>
      </c>
      <c r="CS19" s="15">
        <v>0.0</v>
      </c>
      <c r="CT19" s="15">
        <v>1.0</v>
      </c>
      <c r="CU19" s="15">
        <v>2.0</v>
      </c>
      <c r="CV19" s="15" t="s">
        <v>465</v>
      </c>
      <c r="CW19" s="15" t="s">
        <v>222</v>
      </c>
      <c r="CX19" s="15" t="s">
        <v>222</v>
      </c>
      <c r="CY19" s="15" t="s">
        <v>222</v>
      </c>
      <c r="CZ19" s="15" t="s">
        <v>222</v>
      </c>
      <c r="DA19" s="15" t="s">
        <v>222</v>
      </c>
      <c r="DB19" s="15" t="s">
        <v>222</v>
      </c>
      <c r="DC19" s="15" t="s">
        <v>222</v>
      </c>
      <c r="DD19" s="15">
        <v>0.0</v>
      </c>
      <c r="DE19" s="15" t="s">
        <v>222</v>
      </c>
      <c r="DF19" s="15" t="s">
        <v>222</v>
      </c>
      <c r="DG19" s="15" t="s">
        <v>222</v>
      </c>
      <c r="DH19" s="15" t="s">
        <v>222</v>
      </c>
      <c r="DI19" s="15" t="s">
        <v>222</v>
      </c>
      <c r="DJ19" s="15" t="s">
        <v>222</v>
      </c>
      <c r="DK19" s="15">
        <v>0.0</v>
      </c>
      <c r="DL19" s="15">
        <v>0.0</v>
      </c>
      <c r="DM19" s="15">
        <v>1.0</v>
      </c>
      <c r="DN19" s="15">
        <v>0.0</v>
      </c>
      <c r="DO19" s="15">
        <v>0.0</v>
      </c>
      <c r="DP19" s="15">
        <v>0.0</v>
      </c>
      <c r="DQ19" s="15">
        <v>1.0</v>
      </c>
      <c r="DR19" s="15">
        <v>1.0</v>
      </c>
      <c r="DS19" s="15" t="s">
        <v>466</v>
      </c>
      <c r="DT19" s="15">
        <v>1.0</v>
      </c>
      <c r="DU19" s="15" t="s">
        <v>413</v>
      </c>
      <c r="DV19" s="15">
        <v>0.0</v>
      </c>
      <c r="DW19" s="15" t="s">
        <v>222</v>
      </c>
      <c r="DX19" s="15">
        <v>0.0</v>
      </c>
      <c r="DY19" s="15" t="s">
        <v>222</v>
      </c>
      <c r="DZ19" s="15">
        <v>0.0</v>
      </c>
      <c r="EA19" s="15">
        <v>0.0</v>
      </c>
      <c r="EB19" s="15">
        <v>1.0</v>
      </c>
      <c r="EC19" s="15">
        <v>0.0</v>
      </c>
      <c r="ED19" s="15">
        <v>0.0</v>
      </c>
      <c r="EE19" s="15" t="s">
        <v>222</v>
      </c>
      <c r="EF19" s="15" t="s">
        <v>222</v>
      </c>
      <c r="EG19" s="15">
        <v>0.0</v>
      </c>
      <c r="EH19" s="15" t="s">
        <v>222</v>
      </c>
      <c r="EI19" s="15">
        <v>0.0</v>
      </c>
      <c r="EJ19" s="15" t="s">
        <v>222</v>
      </c>
      <c r="EK19" s="15" t="s">
        <v>222</v>
      </c>
      <c r="EL19" s="15" t="s">
        <v>222</v>
      </c>
      <c r="EM19" s="15" t="s">
        <v>222</v>
      </c>
      <c r="EN19" s="15">
        <v>0.0</v>
      </c>
      <c r="EO19" s="15" t="s">
        <v>222</v>
      </c>
      <c r="EP19" s="15" t="s">
        <v>222</v>
      </c>
      <c r="EQ19" s="15" t="s">
        <v>222</v>
      </c>
      <c r="ER19" s="16">
        <v>45239.0</v>
      </c>
      <c r="ES19" s="16">
        <v>45243.0</v>
      </c>
      <c r="ET19" s="15">
        <f t="shared" si="11"/>
        <v>3</v>
      </c>
      <c r="EU19" s="15">
        <f t="shared" si="12"/>
        <v>4</v>
      </c>
      <c r="EV19" s="16">
        <v>45241.0</v>
      </c>
      <c r="EW19" s="15">
        <f t="shared" si="13"/>
        <v>5</v>
      </c>
      <c r="EX19" s="15">
        <v>0.0</v>
      </c>
      <c r="EY19" s="15">
        <v>0.0</v>
      </c>
      <c r="EZ19" s="15">
        <v>1.0</v>
      </c>
      <c r="FA19" s="15" t="s">
        <v>222</v>
      </c>
      <c r="FB19" s="15" t="s">
        <v>222</v>
      </c>
      <c r="FC19" s="20">
        <v>45243.0</v>
      </c>
      <c r="FD19" s="15" t="s">
        <v>222</v>
      </c>
      <c r="FE19" s="15" t="s">
        <v>222</v>
      </c>
      <c r="FF19" s="16" t="str">
        <f t="shared" si="14"/>
        <v>#VALUE!</v>
      </c>
      <c r="FG19" s="15" t="s">
        <v>222</v>
      </c>
      <c r="FH19" s="15">
        <v>1.0</v>
      </c>
      <c r="FI19" s="16">
        <v>45243.0</v>
      </c>
      <c r="FJ19" s="15" t="s">
        <v>467</v>
      </c>
      <c r="FK19" s="15">
        <f t="shared" si="15"/>
        <v>8</v>
      </c>
      <c r="FL19" s="15">
        <v>1.0</v>
      </c>
      <c r="FM19" s="15" t="s">
        <v>348</v>
      </c>
      <c r="FN19" s="16">
        <v>45237.0</v>
      </c>
      <c r="FO19" s="15">
        <f t="shared" si="26"/>
        <v>1</v>
      </c>
      <c r="FP19" s="15">
        <v>0.0</v>
      </c>
      <c r="FQ19" s="15" t="s">
        <v>222</v>
      </c>
      <c r="FR19" s="15" t="s">
        <v>222</v>
      </c>
      <c r="FS19" s="15" t="s">
        <v>222</v>
      </c>
      <c r="FT19" s="15">
        <v>0.0</v>
      </c>
      <c r="FU19" s="15">
        <v>5.7</v>
      </c>
      <c r="FV19" s="15">
        <v>2.0</v>
      </c>
      <c r="FW19" s="15">
        <v>0.0</v>
      </c>
      <c r="FX19" s="15" t="s">
        <v>468</v>
      </c>
      <c r="FY19" s="15">
        <v>22.0</v>
      </c>
      <c r="FZ19" s="15" t="s">
        <v>222</v>
      </c>
      <c r="GA19" s="15">
        <v>39.7</v>
      </c>
      <c r="GB19" s="15" t="s">
        <v>222</v>
      </c>
      <c r="GC19" s="15">
        <v>102.0</v>
      </c>
      <c r="GD19" s="15">
        <v>5.7</v>
      </c>
      <c r="GE19" s="15">
        <v>15.4</v>
      </c>
      <c r="GF19" s="15">
        <v>48.0</v>
      </c>
      <c r="GG19" s="15">
        <f t="shared" si="20"/>
        <v>0.5294117647</v>
      </c>
      <c r="GH19" s="15" t="s">
        <v>222</v>
      </c>
      <c r="GI19" s="15" t="s">
        <v>222</v>
      </c>
      <c r="GJ19" s="15" t="s">
        <v>222</v>
      </c>
      <c r="GK19" s="15" t="s">
        <v>222</v>
      </c>
      <c r="GL19" s="15" t="s">
        <v>222</v>
      </c>
      <c r="GM19" s="15">
        <v>48.0</v>
      </c>
      <c r="GN19" s="15">
        <v>3.5</v>
      </c>
      <c r="GO19" s="15">
        <v>22.0</v>
      </c>
      <c r="GP19" s="15" t="s">
        <v>222</v>
      </c>
      <c r="GQ19" s="15" t="s">
        <v>222</v>
      </c>
      <c r="GR19" s="15" t="s">
        <v>222</v>
      </c>
      <c r="GS19" s="15" t="s">
        <v>222</v>
      </c>
      <c r="GT19" s="15" t="s">
        <v>222</v>
      </c>
      <c r="GU19" s="15" t="s">
        <v>222</v>
      </c>
      <c r="GV19" s="15" t="s">
        <v>222</v>
      </c>
      <c r="GW19" s="15" t="s">
        <v>222</v>
      </c>
      <c r="GX19" s="15" t="s">
        <v>222</v>
      </c>
      <c r="GY19" s="15" t="s">
        <v>222</v>
      </c>
      <c r="GZ19" s="15" t="s">
        <v>222</v>
      </c>
      <c r="HA19" s="15" t="s">
        <v>222</v>
      </c>
      <c r="HB19" s="15" t="s">
        <v>222</v>
      </c>
      <c r="HC19" s="15" t="s">
        <v>222</v>
      </c>
      <c r="HD19" s="15" t="s">
        <v>222</v>
      </c>
      <c r="HE19" s="15" t="s">
        <v>222</v>
      </c>
      <c r="HF19" s="15">
        <v>57.9</v>
      </c>
      <c r="HG19" s="15">
        <v>155.0</v>
      </c>
      <c r="HH19" s="15">
        <v>136.0</v>
      </c>
      <c r="HI19" s="15">
        <v>86.7</v>
      </c>
      <c r="HJ19" s="15">
        <v>59.1</v>
      </c>
      <c r="HK19" s="15" t="s">
        <v>469</v>
      </c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</row>
    <row r="20" ht="15.75" customHeight="1">
      <c r="A20" s="27" t="s">
        <v>218</v>
      </c>
      <c r="B20" s="15" t="s">
        <v>470</v>
      </c>
      <c r="C20" s="15">
        <v>3.1348741E7</v>
      </c>
      <c r="D20" s="16">
        <v>17918.0</v>
      </c>
      <c r="E20" s="16">
        <v>45266.0</v>
      </c>
      <c r="F20" s="16">
        <v>45296.0</v>
      </c>
      <c r="G20" s="16">
        <v>45267.0</v>
      </c>
      <c r="H20" s="15">
        <f t="shared" si="1"/>
        <v>74.92876712</v>
      </c>
      <c r="I20" s="15">
        <v>1.0</v>
      </c>
      <c r="J20" s="15">
        <f t="shared" si="2"/>
        <v>30</v>
      </c>
      <c r="K20" s="15">
        <v>0.0</v>
      </c>
      <c r="L20" s="15">
        <v>70.0</v>
      </c>
      <c r="M20" s="15">
        <v>1.8</v>
      </c>
      <c r="N20" s="17">
        <f t="shared" si="3"/>
        <v>21.60493827</v>
      </c>
      <c r="O20" s="15">
        <v>2.0</v>
      </c>
      <c r="P20" s="15" t="s">
        <v>471</v>
      </c>
      <c r="Q20" s="15">
        <v>0.0</v>
      </c>
      <c r="R20" s="15">
        <v>0.0</v>
      </c>
      <c r="S20" s="15" t="s">
        <v>472</v>
      </c>
      <c r="T20" s="15">
        <v>0.0</v>
      </c>
      <c r="U20" s="15">
        <v>0.0</v>
      </c>
      <c r="V20" s="15">
        <v>0.0</v>
      </c>
      <c r="W20" s="15">
        <v>0.0</v>
      </c>
      <c r="X20" s="18">
        <v>0.40902777777777777</v>
      </c>
      <c r="Y20" s="18">
        <v>0.6138888888888888</v>
      </c>
      <c r="Z20" s="19">
        <f t="shared" si="4"/>
        <v>0.2048611111</v>
      </c>
      <c r="AA20" s="18">
        <f t="shared" si="5"/>
        <v>295</v>
      </c>
      <c r="AB20" s="15">
        <v>2.0</v>
      </c>
      <c r="AC20" s="15">
        <v>0.0</v>
      </c>
      <c r="AD20" s="15" t="s">
        <v>222</v>
      </c>
      <c r="AE20" s="15" t="s">
        <v>222</v>
      </c>
      <c r="AF20" s="15">
        <v>0.0</v>
      </c>
      <c r="AG20" s="15" t="s">
        <v>228</v>
      </c>
      <c r="AH20" s="15" t="s">
        <v>473</v>
      </c>
      <c r="AI20" s="15">
        <v>0.0</v>
      </c>
      <c r="AJ20" s="15">
        <v>1.0</v>
      </c>
      <c r="AK20" s="15">
        <v>0.0</v>
      </c>
      <c r="AL20" s="15" t="s">
        <v>222</v>
      </c>
      <c r="AM20" s="15" t="s">
        <v>222</v>
      </c>
      <c r="AN20" s="15" t="s">
        <v>222</v>
      </c>
      <c r="AO20" s="15">
        <v>0.0</v>
      </c>
      <c r="AP20" s="15" t="s">
        <v>222</v>
      </c>
      <c r="AQ20" s="15" t="s">
        <v>222</v>
      </c>
      <c r="AR20" s="15" t="s">
        <v>222</v>
      </c>
      <c r="AS20" s="15">
        <v>1.0</v>
      </c>
      <c r="AT20" s="15" t="s">
        <v>474</v>
      </c>
      <c r="AU20" s="16">
        <v>45278.0</v>
      </c>
      <c r="AV20" s="15">
        <f>AU20-G20</f>
        <v>11</v>
      </c>
      <c r="AW20" s="15" t="s">
        <v>295</v>
      </c>
      <c r="AX20" s="15" t="s">
        <v>225</v>
      </c>
      <c r="AY20" s="15">
        <v>0.0</v>
      </c>
      <c r="AZ20" s="15">
        <v>1.0</v>
      </c>
      <c r="BA20" s="15">
        <v>2.0</v>
      </c>
      <c r="BB20" s="15" t="s">
        <v>475</v>
      </c>
      <c r="BC20" s="15" t="s">
        <v>222</v>
      </c>
      <c r="BD20" s="15" t="s">
        <v>228</v>
      </c>
      <c r="BE20" s="15">
        <v>0.0</v>
      </c>
      <c r="BF20" s="15">
        <v>1.8</v>
      </c>
      <c r="BG20" s="15" t="s">
        <v>249</v>
      </c>
      <c r="BH20" s="15">
        <v>0.0</v>
      </c>
      <c r="BI20" s="15">
        <v>0.0</v>
      </c>
      <c r="BJ20" s="15" t="s">
        <v>222</v>
      </c>
      <c r="BK20" s="15" t="s">
        <v>376</v>
      </c>
      <c r="BL20" s="15">
        <v>0.0</v>
      </c>
      <c r="BM20" s="15" t="s">
        <v>222</v>
      </c>
      <c r="BN20" s="15">
        <v>1.0</v>
      </c>
      <c r="BO20" s="15">
        <v>2.0</v>
      </c>
      <c r="BP20" s="15" t="s">
        <v>222</v>
      </c>
      <c r="BQ20" s="15" t="s">
        <v>222</v>
      </c>
      <c r="BR20" s="15" t="s">
        <v>222</v>
      </c>
      <c r="BS20" s="15">
        <v>0.0</v>
      </c>
      <c r="BT20" s="15" t="s">
        <v>222</v>
      </c>
      <c r="BU20" s="15" t="s">
        <v>222</v>
      </c>
      <c r="BV20" s="15" t="s">
        <v>222</v>
      </c>
      <c r="BW20" s="15">
        <v>0.0</v>
      </c>
      <c r="BX20" s="15">
        <v>0.0</v>
      </c>
      <c r="BY20" s="15">
        <v>27.0</v>
      </c>
      <c r="BZ20" s="15">
        <f t="shared" si="6"/>
        <v>0</v>
      </c>
      <c r="CA20" s="15">
        <v>0.0</v>
      </c>
      <c r="CB20" s="15">
        <v>1.0</v>
      </c>
      <c r="CC20" s="15">
        <v>1.0</v>
      </c>
      <c r="CD20" s="15" t="s">
        <v>476</v>
      </c>
      <c r="CE20" s="15">
        <v>1.0</v>
      </c>
      <c r="CF20" s="15" t="s">
        <v>476</v>
      </c>
      <c r="CG20" s="15">
        <v>6.0</v>
      </c>
      <c r="CH20" s="15">
        <v>14.8</v>
      </c>
      <c r="CI20" s="15" t="s">
        <v>477</v>
      </c>
      <c r="CJ20" s="15" t="s">
        <v>478</v>
      </c>
      <c r="CK20" s="15">
        <v>0.0</v>
      </c>
      <c r="CL20" s="15" t="s">
        <v>222</v>
      </c>
      <c r="CM20" s="15" t="s">
        <v>222</v>
      </c>
      <c r="CN20" s="15" t="s">
        <v>222</v>
      </c>
      <c r="CO20" s="15">
        <v>14.2</v>
      </c>
      <c r="CP20" s="15">
        <v>300.0</v>
      </c>
      <c r="CQ20" s="15">
        <v>0.0</v>
      </c>
      <c r="CR20" s="15">
        <v>0.0</v>
      </c>
      <c r="CS20" s="15">
        <v>0.0</v>
      </c>
      <c r="CT20" s="15">
        <v>0.0</v>
      </c>
      <c r="CU20" s="15">
        <v>0.0</v>
      </c>
      <c r="CV20" s="15" t="s">
        <v>299</v>
      </c>
      <c r="CW20" s="16">
        <v>45270.0</v>
      </c>
      <c r="CX20" s="15">
        <v>600.0</v>
      </c>
      <c r="CY20" s="15">
        <f t="shared" ref="CY20:CY37" si="28">CZ20/60</f>
        <v>30.28333333</v>
      </c>
      <c r="CZ20" s="15">
        <v>1817.0</v>
      </c>
      <c r="DA20" s="15">
        <f t="shared" ref="DA20:DA37" si="29">DB20/60</f>
        <v>3.95</v>
      </c>
      <c r="DB20" s="15">
        <v>237.0</v>
      </c>
      <c r="DC20" s="15">
        <v>1.0</v>
      </c>
      <c r="DD20" s="15">
        <v>1.0</v>
      </c>
      <c r="DE20" s="16">
        <v>45272.0</v>
      </c>
      <c r="DF20" s="15">
        <v>600.0</v>
      </c>
      <c r="DG20" s="15">
        <f t="shared" ref="DG20:DG24" si="30">DH20/60</f>
        <v>0.9733333333</v>
      </c>
      <c r="DH20" s="15">
        <v>58.4</v>
      </c>
      <c r="DI20" s="15">
        <f t="shared" ref="DI20:DI24" si="31">DJ20/60</f>
        <v>0.8633333333</v>
      </c>
      <c r="DJ20" s="15">
        <v>51.8</v>
      </c>
      <c r="DK20" s="15">
        <v>0.0</v>
      </c>
      <c r="DL20" s="15">
        <v>1.0</v>
      </c>
      <c r="DM20" s="15">
        <v>1.0</v>
      </c>
      <c r="DN20" s="15">
        <v>0.0</v>
      </c>
      <c r="DO20" s="15">
        <v>1.0</v>
      </c>
      <c r="DP20" s="15">
        <v>1.0</v>
      </c>
      <c r="DQ20" s="15">
        <v>0.0</v>
      </c>
      <c r="DR20" s="15">
        <v>1.0</v>
      </c>
      <c r="DS20" s="15" t="s">
        <v>479</v>
      </c>
      <c r="DT20" s="15">
        <v>1.0</v>
      </c>
      <c r="DU20" s="15" t="s">
        <v>413</v>
      </c>
      <c r="DV20" s="15">
        <v>0.0</v>
      </c>
      <c r="DW20" s="15" t="s">
        <v>222</v>
      </c>
      <c r="DX20" s="15">
        <v>0.0</v>
      </c>
      <c r="DY20" s="15" t="s">
        <v>222</v>
      </c>
      <c r="DZ20" s="15">
        <v>0.0</v>
      </c>
      <c r="EA20" s="15">
        <v>0.0</v>
      </c>
      <c r="EB20" s="15">
        <v>0.0</v>
      </c>
      <c r="EC20" s="15">
        <v>0.0</v>
      </c>
      <c r="ED20" s="15">
        <v>0.0</v>
      </c>
      <c r="EE20" s="15" t="s">
        <v>390</v>
      </c>
      <c r="EF20" s="16">
        <v>45270.0</v>
      </c>
      <c r="EG20" s="15">
        <v>0.0</v>
      </c>
      <c r="EH20" s="15">
        <f>EF20-G20</f>
        <v>3</v>
      </c>
      <c r="EI20" s="15">
        <v>0.0</v>
      </c>
      <c r="EJ20" s="15" t="s">
        <v>222</v>
      </c>
      <c r="EK20" s="15" t="s">
        <v>222</v>
      </c>
      <c r="EL20" s="15" t="s">
        <v>222</v>
      </c>
      <c r="EM20" s="15" t="s">
        <v>222</v>
      </c>
      <c r="EN20" s="15">
        <v>0.0</v>
      </c>
      <c r="EO20" s="15" t="s">
        <v>222</v>
      </c>
      <c r="EP20" s="15" t="s">
        <v>222</v>
      </c>
      <c r="EQ20" s="15" t="s">
        <v>222</v>
      </c>
      <c r="ER20" s="16">
        <v>45270.0</v>
      </c>
      <c r="ES20" s="16">
        <v>45358.0</v>
      </c>
      <c r="ET20" s="15">
        <f t="shared" si="11"/>
        <v>3</v>
      </c>
      <c r="EU20" s="15">
        <f t="shared" si="12"/>
        <v>88</v>
      </c>
      <c r="EV20" s="16">
        <v>45273.0</v>
      </c>
      <c r="EW20" s="15">
        <f t="shared" si="13"/>
        <v>6</v>
      </c>
      <c r="EX20" s="15">
        <v>0.0</v>
      </c>
      <c r="EY20" s="15">
        <v>0.0</v>
      </c>
      <c r="EZ20" s="15">
        <v>0.0</v>
      </c>
      <c r="FA20" s="15">
        <v>1.0</v>
      </c>
      <c r="FB20" s="15" t="s">
        <v>236</v>
      </c>
      <c r="FC20" s="20">
        <v>45521.0</v>
      </c>
      <c r="FD20" s="15" t="s">
        <v>222</v>
      </c>
      <c r="FE20" s="15" t="s">
        <v>222</v>
      </c>
      <c r="FF20" s="16" t="str">
        <f t="shared" si="14"/>
        <v>#VALUE!</v>
      </c>
      <c r="FG20" s="15" t="s">
        <v>222</v>
      </c>
      <c r="FH20" s="15">
        <v>0.0</v>
      </c>
      <c r="FI20" s="15" t="s">
        <v>222</v>
      </c>
      <c r="FJ20" s="15" t="s">
        <v>222</v>
      </c>
      <c r="FK20" s="15">
        <f t="shared" si="15"/>
        <v>255</v>
      </c>
      <c r="FL20" s="15">
        <v>0.0</v>
      </c>
      <c r="FM20" s="15" t="s">
        <v>222</v>
      </c>
      <c r="FN20" s="15" t="s">
        <v>222</v>
      </c>
      <c r="FO20" s="16" t="str">
        <f t="shared" si="26"/>
        <v>#VALUE!</v>
      </c>
      <c r="FP20" s="15">
        <v>1.0</v>
      </c>
      <c r="FQ20" s="15" t="s">
        <v>365</v>
      </c>
      <c r="FR20" s="16">
        <v>45327.0</v>
      </c>
      <c r="FS20" s="15">
        <f t="shared" ref="FS20:FS37" si="32">FR20-G20</f>
        <v>60</v>
      </c>
      <c r="FT20" s="15">
        <v>0.0</v>
      </c>
      <c r="FU20" s="15">
        <v>2.0</v>
      </c>
      <c r="FV20" s="15">
        <v>1.0</v>
      </c>
      <c r="FW20" s="15">
        <v>0.0</v>
      </c>
      <c r="FX20" s="15" t="s">
        <v>480</v>
      </c>
      <c r="FY20" s="15">
        <v>19.0</v>
      </c>
      <c r="FZ20" s="15">
        <v>1.1</v>
      </c>
      <c r="GA20" s="15">
        <v>41.6</v>
      </c>
      <c r="GB20" s="15">
        <v>5.3</v>
      </c>
      <c r="GC20" s="15">
        <v>61.0</v>
      </c>
      <c r="GD20" s="15">
        <v>2.0</v>
      </c>
      <c r="GE20" s="15">
        <v>10.9</v>
      </c>
      <c r="GF20" s="15">
        <v>39.0</v>
      </c>
      <c r="GG20" s="15">
        <f t="shared" si="20"/>
        <v>0.3606557377</v>
      </c>
      <c r="GH20" s="15">
        <v>72.6</v>
      </c>
      <c r="GI20" s="15">
        <v>1.06</v>
      </c>
      <c r="GJ20" s="15">
        <v>5.7</v>
      </c>
      <c r="GK20" s="15">
        <v>37.5</v>
      </c>
      <c r="GL20" s="15">
        <v>40.0</v>
      </c>
      <c r="GM20" s="15">
        <v>39.0</v>
      </c>
      <c r="GN20" s="15">
        <v>2.5</v>
      </c>
      <c r="GO20" s="15">
        <v>19.3</v>
      </c>
      <c r="GP20" s="16">
        <v>45329.0</v>
      </c>
      <c r="GQ20" s="15">
        <v>70.6</v>
      </c>
      <c r="GR20" s="15">
        <v>1.06</v>
      </c>
      <c r="GS20" s="15" t="s">
        <v>222</v>
      </c>
      <c r="GT20" s="15">
        <v>37.5</v>
      </c>
      <c r="GU20" s="15">
        <v>40.0</v>
      </c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>
        <v>46.7</v>
      </c>
      <c r="HG20" s="15">
        <v>158.0</v>
      </c>
      <c r="HH20" s="15">
        <v>228.0</v>
      </c>
      <c r="HI20" s="15">
        <v>233.0</v>
      </c>
      <c r="HJ20" s="15">
        <v>202.0</v>
      </c>
      <c r="HK20" s="15" t="s">
        <v>239</v>
      </c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</row>
    <row r="21" ht="15.75" customHeight="1">
      <c r="A21" s="27" t="s">
        <v>218</v>
      </c>
      <c r="B21" s="15" t="s">
        <v>481</v>
      </c>
      <c r="C21" s="15">
        <v>1.6772498E7</v>
      </c>
      <c r="D21" s="16">
        <v>29455.0</v>
      </c>
      <c r="E21" s="16">
        <v>45279.0</v>
      </c>
      <c r="F21" s="16">
        <v>45293.0</v>
      </c>
      <c r="G21" s="16">
        <v>45279.0</v>
      </c>
      <c r="H21" s="15">
        <f t="shared" si="1"/>
        <v>43.35342466</v>
      </c>
      <c r="I21" s="15">
        <v>0.0</v>
      </c>
      <c r="J21" s="15">
        <f t="shared" si="2"/>
        <v>14</v>
      </c>
      <c r="K21" s="15">
        <v>1.0</v>
      </c>
      <c r="L21" s="15">
        <v>60.0</v>
      </c>
      <c r="M21" s="15">
        <v>1.6</v>
      </c>
      <c r="N21" s="17">
        <f t="shared" si="3"/>
        <v>23.4375</v>
      </c>
      <c r="O21" s="15">
        <v>3.0</v>
      </c>
      <c r="P21" s="15" t="s">
        <v>482</v>
      </c>
      <c r="Q21" s="15">
        <v>0.0</v>
      </c>
      <c r="R21" s="15">
        <v>0.0</v>
      </c>
      <c r="S21" s="15" t="s">
        <v>483</v>
      </c>
      <c r="T21" s="15">
        <v>0.0</v>
      </c>
      <c r="U21" s="15">
        <v>0.0</v>
      </c>
      <c r="V21" s="15">
        <v>0.0</v>
      </c>
      <c r="W21" s="15">
        <v>1.0</v>
      </c>
      <c r="X21" s="18">
        <v>0.5041666666666667</v>
      </c>
      <c r="Y21" s="18">
        <v>0.6777777777777777</v>
      </c>
      <c r="Z21" s="19">
        <f t="shared" si="4"/>
        <v>0.1736111111</v>
      </c>
      <c r="AA21" s="18">
        <f t="shared" si="5"/>
        <v>250</v>
      </c>
      <c r="AB21" s="15">
        <v>2.0</v>
      </c>
      <c r="AC21" s="15">
        <v>0.0</v>
      </c>
      <c r="AD21" s="15" t="s">
        <v>222</v>
      </c>
      <c r="AE21" s="15" t="s">
        <v>222</v>
      </c>
      <c r="AF21" s="15" t="s">
        <v>484</v>
      </c>
      <c r="AG21" s="15" t="s">
        <v>228</v>
      </c>
      <c r="AH21" s="15" t="s">
        <v>222</v>
      </c>
      <c r="AI21" s="15">
        <v>0.0</v>
      </c>
      <c r="AJ21" s="15">
        <v>1.0</v>
      </c>
      <c r="AK21" s="15">
        <v>0.0</v>
      </c>
      <c r="AL21" s="15" t="s">
        <v>222</v>
      </c>
      <c r="AM21" s="15" t="s">
        <v>222</v>
      </c>
      <c r="AN21" s="15" t="s">
        <v>222</v>
      </c>
      <c r="AO21" s="15">
        <v>0.0</v>
      </c>
      <c r="AP21" s="15" t="s">
        <v>222</v>
      </c>
      <c r="AQ21" s="15" t="s">
        <v>222</v>
      </c>
      <c r="AR21" s="15" t="s">
        <v>222</v>
      </c>
      <c r="AS21" s="15">
        <v>0.0</v>
      </c>
      <c r="AT21" s="15" t="s">
        <v>222</v>
      </c>
      <c r="AU21" s="15" t="s">
        <v>222</v>
      </c>
      <c r="AV21" s="15" t="s">
        <v>222</v>
      </c>
      <c r="AW21" s="15" t="s">
        <v>295</v>
      </c>
      <c r="AX21" s="15" t="s">
        <v>225</v>
      </c>
      <c r="AY21" s="15">
        <v>0.0</v>
      </c>
      <c r="AZ21" s="15">
        <v>1.0</v>
      </c>
      <c r="BA21" s="15">
        <v>2.0</v>
      </c>
      <c r="BB21" s="15" t="s">
        <v>485</v>
      </c>
      <c r="BC21" s="15" t="s">
        <v>222</v>
      </c>
      <c r="BD21" s="15" t="s">
        <v>228</v>
      </c>
      <c r="BE21" s="15" t="s">
        <v>222</v>
      </c>
      <c r="BF21" s="15">
        <v>2.0</v>
      </c>
      <c r="BG21" s="15">
        <v>2.0</v>
      </c>
      <c r="BH21" s="15">
        <v>0.0</v>
      </c>
      <c r="BI21" s="15">
        <v>0.0</v>
      </c>
      <c r="BJ21" s="15" t="s">
        <v>222</v>
      </c>
      <c r="BK21" s="15">
        <v>2.0</v>
      </c>
      <c r="BL21" s="15">
        <v>0.0</v>
      </c>
      <c r="BM21" s="15" t="s">
        <v>222</v>
      </c>
      <c r="BN21" s="15">
        <v>1.0</v>
      </c>
      <c r="BO21" s="15">
        <v>4.0</v>
      </c>
      <c r="BP21" s="15" t="s">
        <v>222</v>
      </c>
      <c r="BQ21" s="15" t="s">
        <v>222</v>
      </c>
      <c r="BR21" s="15" t="s">
        <v>222</v>
      </c>
      <c r="BS21" s="15">
        <v>0.0</v>
      </c>
      <c r="BT21" s="15" t="s">
        <v>222</v>
      </c>
      <c r="BU21" s="15" t="s">
        <v>222</v>
      </c>
      <c r="BV21" s="15" t="s">
        <v>222</v>
      </c>
      <c r="BW21" s="15">
        <v>0.0</v>
      </c>
      <c r="BX21" s="15">
        <v>0.0</v>
      </c>
      <c r="BY21" s="15">
        <v>38.0</v>
      </c>
      <c r="BZ21" s="15">
        <f t="shared" si="6"/>
        <v>0</v>
      </c>
      <c r="CA21" s="15">
        <v>0.0</v>
      </c>
      <c r="CB21" s="15" t="s">
        <v>486</v>
      </c>
      <c r="CC21" s="15">
        <v>1.0</v>
      </c>
      <c r="CD21" s="15" t="s">
        <v>245</v>
      </c>
      <c r="CE21" s="15">
        <v>1.0</v>
      </c>
      <c r="CF21" s="15" t="s">
        <v>487</v>
      </c>
      <c r="CG21" s="15">
        <v>7.0</v>
      </c>
      <c r="CH21" s="15">
        <v>12.4</v>
      </c>
      <c r="CI21" s="15" t="s">
        <v>488</v>
      </c>
      <c r="CJ21" s="15" t="s">
        <v>489</v>
      </c>
      <c r="CK21" s="15" t="s">
        <v>490</v>
      </c>
      <c r="CL21" s="15" t="s">
        <v>234</v>
      </c>
      <c r="CM21" s="16">
        <v>45280.0</v>
      </c>
      <c r="CN21" s="15">
        <f t="shared" ref="CN21:CN22" si="33">CM21-G21</f>
        <v>1</v>
      </c>
      <c r="CO21" s="15">
        <v>10.4</v>
      </c>
      <c r="CP21" s="15">
        <v>300.0</v>
      </c>
      <c r="CQ21" s="15">
        <v>0.0</v>
      </c>
      <c r="CR21" s="15">
        <v>0.0</v>
      </c>
      <c r="CS21" s="15">
        <v>0.0</v>
      </c>
      <c r="CT21" s="15">
        <v>0.0</v>
      </c>
      <c r="CU21" s="15">
        <v>0.0</v>
      </c>
      <c r="CV21" s="15" t="s">
        <v>491</v>
      </c>
      <c r="CW21" s="16">
        <v>45282.0</v>
      </c>
      <c r="CX21" s="15">
        <v>600.0</v>
      </c>
      <c r="CY21" s="15">
        <f t="shared" si="28"/>
        <v>0.8083333333</v>
      </c>
      <c r="CZ21" s="15">
        <v>48.5</v>
      </c>
      <c r="DA21" s="15">
        <f t="shared" si="29"/>
        <v>0.345</v>
      </c>
      <c r="DB21" s="15">
        <v>20.7</v>
      </c>
      <c r="DC21" s="15">
        <v>0.0</v>
      </c>
      <c r="DD21" s="15">
        <v>0.0</v>
      </c>
      <c r="DE21" s="16">
        <v>45285.0</v>
      </c>
      <c r="DF21" s="15">
        <v>500.0</v>
      </c>
      <c r="DG21" s="15">
        <f t="shared" si="30"/>
        <v>0.8083333333</v>
      </c>
      <c r="DH21" s="15">
        <v>48.5</v>
      </c>
      <c r="DI21" s="15">
        <f t="shared" si="31"/>
        <v>0.2883333333</v>
      </c>
      <c r="DJ21" s="15">
        <v>17.3</v>
      </c>
      <c r="DK21" s="15">
        <v>0.0</v>
      </c>
      <c r="DL21" s="15">
        <v>0.0</v>
      </c>
      <c r="DM21" s="15">
        <v>1.0</v>
      </c>
      <c r="DN21" s="15">
        <v>0.0</v>
      </c>
      <c r="DO21" s="15">
        <v>0.0</v>
      </c>
      <c r="DP21" s="15">
        <v>0.0</v>
      </c>
      <c r="DQ21" s="15">
        <v>1.0</v>
      </c>
      <c r="DR21" s="15">
        <v>0.0</v>
      </c>
      <c r="DS21" s="15" t="s">
        <v>222</v>
      </c>
      <c r="DT21" s="15">
        <v>0.0</v>
      </c>
      <c r="DU21" s="15" t="s">
        <v>222</v>
      </c>
      <c r="DV21" s="15">
        <v>0.0</v>
      </c>
      <c r="DW21" s="15" t="s">
        <v>222</v>
      </c>
      <c r="DX21" s="15">
        <v>0.0</v>
      </c>
      <c r="DY21" s="15" t="s">
        <v>222</v>
      </c>
      <c r="DZ21" s="15">
        <v>0.0</v>
      </c>
      <c r="EA21" s="15">
        <v>0.0</v>
      </c>
      <c r="EB21" s="15">
        <v>0.0</v>
      </c>
      <c r="EC21" s="15">
        <v>0.0</v>
      </c>
      <c r="ED21" s="15">
        <v>0.0</v>
      </c>
      <c r="EE21" s="15" t="s">
        <v>222</v>
      </c>
      <c r="EF21" s="15" t="s">
        <v>222</v>
      </c>
      <c r="EG21" s="15">
        <v>0.0</v>
      </c>
      <c r="EH21" s="15" t="s">
        <v>222</v>
      </c>
      <c r="EI21" s="15">
        <v>1.0</v>
      </c>
      <c r="EJ21" s="16">
        <v>45286.0</v>
      </c>
      <c r="EK21" s="16">
        <v>45289.0</v>
      </c>
      <c r="EL21" s="15">
        <f t="shared" ref="EL21:EL24" si="34">EK21-EJ21</f>
        <v>3</v>
      </c>
      <c r="EM21" s="15">
        <v>1.0</v>
      </c>
      <c r="EN21" s="15">
        <v>0.0</v>
      </c>
      <c r="EO21" s="15" t="s">
        <v>222</v>
      </c>
      <c r="EP21" s="15" t="s">
        <v>222</v>
      </c>
      <c r="EQ21" s="15" t="s">
        <v>222</v>
      </c>
      <c r="ER21" s="16">
        <v>45282.0</v>
      </c>
      <c r="ES21" s="16">
        <v>45398.0</v>
      </c>
      <c r="ET21" s="15">
        <f t="shared" si="11"/>
        <v>3</v>
      </c>
      <c r="EU21" s="15">
        <f t="shared" si="12"/>
        <v>116</v>
      </c>
      <c r="EV21" s="16">
        <v>45288.0</v>
      </c>
      <c r="EW21" s="15">
        <f t="shared" si="13"/>
        <v>9</v>
      </c>
      <c r="EX21" s="15">
        <v>2.0</v>
      </c>
      <c r="EY21" s="15">
        <v>0.0</v>
      </c>
      <c r="EZ21" s="15">
        <v>0.0</v>
      </c>
      <c r="FA21" s="15">
        <v>1.0</v>
      </c>
      <c r="FB21" s="15" t="s">
        <v>236</v>
      </c>
      <c r="FC21" s="20">
        <v>45572.0</v>
      </c>
      <c r="FD21" s="15" t="s">
        <v>222</v>
      </c>
      <c r="FE21" s="15" t="s">
        <v>222</v>
      </c>
      <c r="FF21" s="16" t="str">
        <f t="shared" si="14"/>
        <v>#VALUE!</v>
      </c>
      <c r="FG21" s="15" t="s">
        <v>222</v>
      </c>
      <c r="FH21" s="15">
        <v>0.0</v>
      </c>
      <c r="FI21" s="15" t="s">
        <v>222</v>
      </c>
      <c r="FJ21" s="15" t="s">
        <v>222</v>
      </c>
      <c r="FK21" s="15">
        <f t="shared" si="15"/>
        <v>293</v>
      </c>
      <c r="FL21" s="15">
        <v>0.0</v>
      </c>
      <c r="FM21" s="15" t="s">
        <v>222</v>
      </c>
      <c r="FN21" s="15" t="s">
        <v>222</v>
      </c>
      <c r="FO21" s="16" t="str">
        <f t="shared" si="26"/>
        <v>#VALUE!</v>
      </c>
      <c r="FP21" s="15">
        <v>1.0</v>
      </c>
      <c r="FQ21" s="15" t="s">
        <v>365</v>
      </c>
      <c r="FR21" s="16">
        <v>45342.0</v>
      </c>
      <c r="FS21" s="15">
        <f t="shared" si="32"/>
        <v>63</v>
      </c>
      <c r="FT21" s="15">
        <v>0.0</v>
      </c>
      <c r="FU21" s="15">
        <v>3.0</v>
      </c>
      <c r="FV21" s="15">
        <v>2.0</v>
      </c>
      <c r="FW21" s="15">
        <v>0.0</v>
      </c>
      <c r="FX21" s="15" t="s">
        <v>492</v>
      </c>
      <c r="FY21" s="15">
        <v>15.0</v>
      </c>
      <c r="FZ21" s="15" t="s">
        <v>222</v>
      </c>
      <c r="GA21" s="15">
        <v>41.5</v>
      </c>
      <c r="GB21" s="15" t="s">
        <v>222</v>
      </c>
      <c r="GC21" s="15">
        <v>78.0</v>
      </c>
      <c r="GD21" s="15">
        <v>3.0</v>
      </c>
      <c r="GE21" s="15">
        <v>10.4</v>
      </c>
      <c r="GF21" s="15"/>
      <c r="GG21" s="15">
        <f t="shared" si="20"/>
        <v>1</v>
      </c>
      <c r="GH21" s="15"/>
      <c r="GI21" s="15"/>
      <c r="GJ21" s="15"/>
      <c r="GK21" s="15"/>
      <c r="GL21" s="15">
        <v>12.0</v>
      </c>
      <c r="GM21" s="15"/>
      <c r="GN21" s="15"/>
      <c r="GO21" s="15"/>
      <c r="GP21" s="16">
        <v>45334.0</v>
      </c>
      <c r="GQ21" s="15">
        <v>57.4</v>
      </c>
      <c r="GR21" s="15">
        <v>0.96</v>
      </c>
      <c r="GS21" s="15">
        <v>5.6</v>
      </c>
      <c r="GT21" s="15">
        <v>33.0</v>
      </c>
      <c r="GU21" s="15">
        <v>12.0</v>
      </c>
      <c r="GV21" s="15">
        <v>57.0</v>
      </c>
      <c r="GW21" s="15"/>
      <c r="GX21" s="15"/>
      <c r="GY21" s="15"/>
      <c r="GZ21" s="15"/>
      <c r="HA21" s="15"/>
      <c r="HB21" s="15"/>
      <c r="HC21" s="15"/>
      <c r="HD21" s="15"/>
      <c r="HE21" s="15"/>
      <c r="HF21" s="15">
        <v>57.6</v>
      </c>
      <c r="HG21" s="15">
        <v>99.0</v>
      </c>
      <c r="HH21" s="15">
        <v>70.0</v>
      </c>
      <c r="HI21" s="15" t="s">
        <v>222</v>
      </c>
      <c r="HJ21" s="15">
        <v>20.2</v>
      </c>
      <c r="HK21" s="15" t="s">
        <v>469</v>
      </c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</row>
    <row r="22" ht="15.75" customHeight="1">
      <c r="A22" s="27" t="s">
        <v>218</v>
      </c>
      <c r="B22" s="15" t="s">
        <v>493</v>
      </c>
      <c r="C22" s="15">
        <v>1.29306E7</v>
      </c>
      <c r="D22" s="16">
        <v>17598.0</v>
      </c>
      <c r="E22" s="16">
        <v>45287.0</v>
      </c>
      <c r="F22" s="16">
        <v>45316.0</v>
      </c>
      <c r="G22" s="16">
        <v>45287.0</v>
      </c>
      <c r="H22" s="15">
        <f t="shared" si="1"/>
        <v>75.86027397</v>
      </c>
      <c r="I22" s="15">
        <v>1.0</v>
      </c>
      <c r="J22" s="15">
        <f t="shared" si="2"/>
        <v>29</v>
      </c>
      <c r="K22" s="15">
        <v>0.0</v>
      </c>
      <c r="L22" s="15">
        <v>90.0</v>
      </c>
      <c r="M22" s="15">
        <v>1.72</v>
      </c>
      <c r="N22" s="17">
        <f t="shared" si="3"/>
        <v>30.42184965</v>
      </c>
      <c r="O22" s="15">
        <v>2.0</v>
      </c>
      <c r="P22" s="15" t="s">
        <v>494</v>
      </c>
      <c r="Q22" s="15">
        <v>0.0</v>
      </c>
      <c r="R22" s="15">
        <v>1.0</v>
      </c>
      <c r="S22" s="15" t="s">
        <v>495</v>
      </c>
      <c r="T22" s="15">
        <v>0.0</v>
      </c>
      <c r="U22" s="15">
        <v>0.0</v>
      </c>
      <c r="V22" s="15">
        <v>0.0</v>
      </c>
      <c r="W22" s="15">
        <v>1.0</v>
      </c>
      <c r="X22" s="18">
        <v>0.6145833333333334</v>
      </c>
      <c r="Y22" s="18">
        <v>0.78125</v>
      </c>
      <c r="Z22" s="19">
        <f t="shared" si="4"/>
        <v>0.1666666667</v>
      </c>
      <c r="AA22" s="18">
        <f t="shared" si="5"/>
        <v>240</v>
      </c>
      <c r="AB22" s="15">
        <v>2.0</v>
      </c>
      <c r="AC22" s="15">
        <v>0.0</v>
      </c>
      <c r="AD22" s="15" t="s">
        <v>222</v>
      </c>
      <c r="AE22" s="15" t="s">
        <v>222</v>
      </c>
      <c r="AF22" s="15">
        <v>0.0</v>
      </c>
      <c r="AG22" s="15" t="s">
        <v>228</v>
      </c>
      <c r="AH22" s="15" t="s">
        <v>222</v>
      </c>
      <c r="AI22" s="15">
        <v>0.0</v>
      </c>
      <c r="AJ22" s="15">
        <v>1.0</v>
      </c>
      <c r="AK22" s="15">
        <v>0.0</v>
      </c>
      <c r="AL22" s="15" t="s">
        <v>222</v>
      </c>
      <c r="AM22" s="15" t="s">
        <v>222</v>
      </c>
      <c r="AN22" s="15" t="s">
        <v>222</v>
      </c>
      <c r="AO22" s="15">
        <v>0.0</v>
      </c>
      <c r="AP22" s="15" t="s">
        <v>222</v>
      </c>
      <c r="AQ22" s="15" t="s">
        <v>222</v>
      </c>
      <c r="AR22" s="15" t="s">
        <v>222</v>
      </c>
      <c r="AS22" s="15">
        <v>0.0</v>
      </c>
      <c r="AT22" s="15" t="s">
        <v>222</v>
      </c>
      <c r="AU22" s="15" t="s">
        <v>222</v>
      </c>
      <c r="AV22" s="15" t="s">
        <v>222</v>
      </c>
      <c r="AW22" s="15" t="s">
        <v>295</v>
      </c>
      <c r="AX22" s="15" t="s">
        <v>225</v>
      </c>
      <c r="AY22" s="15">
        <v>0.0</v>
      </c>
      <c r="AZ22" s="15">
        <v>1.0</v>
      </c>
      <c r="BA22" s="15">
        <v>2.0</v>
      </c>
      <c r="BB22" s="15" t="s">
        <v>496</v>
      </c>
      <c r="BC22" s="15" t="s">
        <v>222</v>
      </c>
      <c r="BD22" s="15" t="s">
        <v>228</v>
      </c>
      <c r="BE22" s="15">
        <v>0.0</v>
      </c>
      <c r="BF22" s="15">
        <v>2.0</v>
      </c>
      <c r="BG22" s="15">
        <v>4.0</v>
      </c>
      <c r="BH22" s="15">
        <v>1.0</v>
      </c>
      <c r="BI22" s="15">
        <v>0.0</v>
      </c>
      <c r="BJ22" s="15" t="s">
        <v>222</v>
      </c>
      <c r="BK22" s="15">
        <v>4.0</v>
      </c>
      <c r="BL22" s="15">
        <v>0.0</v>
      </c>
      <c r="BM22" s="15" t="s">
        <v>222</v>
      </c>
      <c r="BN22" s="15">
        <v>1.0</v>
      </c>
      <c r="BO22" s="15">
        <v>3.0</v>
      </c>
      <c r="BP22" s="15" t="s">
        <v>222</v>
      </c>
      <c r="BQ22" s="15" t="s">
        <v>222</v>
      </c>
      <c r="BR22" s="15" t="s">
        <v>222</v>
      </c>
      <c r="BS22" s="15">
        <v>0.0</v>
      </c>
      <c r="BT22" s="15" t="s">
        <v>222</v>
      </c>
      <c r="BU22" s="15" t="s">
        <v>222</v>
      </c>
      <c r="BV22" s="15" t="s">
        <v>222</v>
      </c>
      <c r="BW22" s="15">
        <v>1.0</v>
      </c>
      <c r="BX22" s="15">
        <v>2.0</v>
      </c>
      <c r="BY22" s="15">
        <v>20.0</v>
      </c>
      <c r="BZ22" s="15">
        <f t="shared" si="6"/>
        <v>0.1</v>
      </c>
      <c r="CA22" s="15">
        <v>1.0</v>
      </c>
      <c r="CB22" s="15">
        <v>1.0</v>
      </c>
      <c r="CC22" s="15">
        <v>1.0</v>
      </c>
      <c r="CD22" s="15" t="s">
        <v>224</v>
      </c>
      <c r="CE22" s="15">
        <v>1.0</v>
      </c>
      <c r="CF22" s="15" t="s">
        <v>224</v>
      </c>
      <c r="CG22" s="15" t="s">
        <v>222</v>
      </c>
      <c r="CH22" s="15">
        <v>14.5</v>
      </c>
      <c r="CI22" s="15" t="s">
        <v>497</v>
      </c>
      <c r="CJ22" s="15" t="s">
        <v>498</v>
      </c>
      <c r="CK22" s="15" t="s">
        <v>499</v>
      </c>
      <c r="CL22" s="15" t="s">
        <v>424</v>
      </c>
      <c r="CM22" s="16">
        <v>45288.0</v>
      </c>
      <c r="CN22" s="15">
        <f t="shared" si="33"/>
        <v>1</v>
      </c>
      <c r="CO22" s="15">
        <v>11.1</v>
      </c>
      <c r="CP22" s="15">
        <v>1000.0</v>
      </c>
      <c r="CQ22" s="15">
        <v>3.0</v>
      </c>
      <c r="CR22" s="15">
        <v>0.0</v>
      </c>
      <c r="CS22" s="15">
        <v>0.0</v>
      </c>
      <c r="CT22" s="15">
        <v>0.0</v>
      </c>
      <c r="CU22" s="15">
        <v>0.0</v>
      </c>
      <c r="CV22" s="15" t="s">
        <v>500</v>
      </c>
      <c r="CW22" s="16">
        <v>45290.0</v>
      </c>
      <c r="CX22" s="15">
        <v>200.0</v>
      </c>
      <c r="CY22" s="15">
        <f t="shared" si="28"/>
        <v>0.335</v>
      </c>
      <c r="CZ22" s="15">
        <v>20.1</v>
      </c>
      <c r="DA22" s="15">
        <f t="shared" si="29"/>
        <v>0.3016666667</v>
      </c>
      <c r="DB22" s="15">
        <v>18.1</v>
      </c>
      <c r="DC22" s="15">
        <v>0.0</v>
      </c>
      <c r="DD22" s="15">
        <v>0.0</v>
      </c>
      <c r="DE22" s="16">
        <v>45292.0</v>
      </c>
      <c r="DF22" s="15">
        <v>250.0</v>
      </c>
      <c r="DG22" s="15">
        <f t="shared" si="30"/>
        <v>0.155</v>
      </c>
      <c r="DH22" s="15">
        <v>9.3</v>
      </c>
      <c r="DI22" s="15">
        <f t="shared" si="31"/>
        <v>0.2833333333</v>
      </c>
      <c r="DJ22" s="15">
        <v>17.0</v>
      </c>
      <c r="DK22" s="15">
        <v>0.0</v>
      </c>
      <c r="DL22" s="15">
        <v>0.0</v>
      </c>
      <c r="DM22" s="15">
        <v>0.0</v>
      </c>
      <c r="DN22" s="15">
        <v>0.0</v>
      </c>
      <c r="DO22" s="15">
        <v>0.0</v>
      </c>
      <c r="DP22" s="15">
        <v>0.0</v>
      </c>
      <c r="DQ22" s="15">
        <v>1.0</v>
      </c>
      <c r="DR22" s="15">
        <v>0.0</v>
      </c>
      <c r="DS22" s="15" t="s">
        <v>222</v>
      </c>
      <c r="DT22" s="15">
        <v>0.0</v>
      </c>
      <c r="DU22" s="15" t="s">
        <v>222</v>
      </c>
      <c r="DV22" s="15">
        <v>0.0</v>
      </c>
      <c r="DW22" s="15" t="s">
        <v>222</v>
      </c>
      <c r="DX22" s="15">
        <v>0.0</v>
      </c>
      <c r="DY22" s="15" t="s">
        <v>222</v>
      </c>
      <c r="DZ22" s="15">
        <v>0.0</v>
      </c>
      <c r="EA22" s="15">
        <v>0.0</v>
      </c>
      <c r="EB22" s="15">
        <v>0.0</v>
      </c>
      <c r="EC22" s="15">
        <v>0.0</v>
      </c>
      <c r="ED22" s="15">
        <v>0.0</v>
      </c>
      <c r="EE22" s="15"/>
      <c r="EF22" s="16"/>
      <c r="EG22" s="15">
        <v>1.0</v>
      </c>
      <c r="EH22" s="15" t="s">
        <v>222</v>
      </c>
      <c r="EI22" s="15">
        <v>1.0</v>
      </c>
      <c r="EJ22" s="16">
        <v>45288.0</v>
      </c>
      <c r="EK22" s="16">
        <v>45291.0</v>
      </c>
      <c r="EL22" s="15">
        <f t="shared" si="34"/>
        <v>3</v>
      </c>
      <c r="EM22" s="15">
        <v>0.0</v>
      </c>
      <c r="EN22" s="15">
        <v>1.0</v>
      </c>
      <c r="EO22" s="16">
        <v>45308.0</v>
      </c>
      <c r="EP22" s="15" t="s">
        <v>501</v>
      </c>
      <c r="EQ22" s="15">
        <v>0.0</v>
      </c>
      <c r="ER22" s="16">
        <v>45290.0</v>
      </c>
      <c r="ES22" s="16">
        <v>45339.0</v>
      </c>
      <c r="ET22" s="15">
        <f t="shared" si="11"/>
        <v>3</v>
      </c>
      <c r="EU22" s="15">
        <f t="shared" si="12"/>
        <v>49</v>
      </c>
      <c r="EV22" s="16">
        <v>45293.0</v>
      </c>
      <c r="EW22" s="15">
        <f t="shared" si="13"/>
        <v>6</v>
      </c>
      <c r="EX22" s="15">
        <v>1.0</v>
      </c>
      <c r="EY22" s="15">
        <v>0.0</v>
      </c>
      <c r="EZ22" s="15">
        <v>0.0</v>
      </c>
      <c r="FA22" s="15">
        <v>1.0</v>
      </c>
      <c r="FB22" s="15" t="s">
        <v>236</v>
      </c>
      <c r="FC22" s="20">
        <v>45431.0</v>
      </c>
      <c r="FD22" s="15" t="s">
        <v>222</v>
      </c>
      <c r="FE22" s="15" t="s">
        <v>222</v>
      </c>
      <c r="FF22" s="16" t="str">
        <f t="shared" si="14"/>
        <v>#VALUE!</v>
      </c>
      <c r="FG22" s="15" t="s">
        <v>222</v>
      </c>
      <c r="FH22" s="15">
        <v>1.0</v>
      </c>
      <c r="FI22" s="16">
        <v>45431.0</v>
      </c>
      <c r="FJ22" s="15" t="s">
        <v>502</v>
      </c>
      <c r="FK22" s="15">
        <f t="shared" si="15"/>
        <v>144</v>
      </c>
      <c r="FL22" s="15">
        <v>0.0</v>
      </c>
      <c r="FM22" s="15" t="s">
        <v>222</v>
      </c>
      <c r="FN22" s="15" t="s">
        <v>222</v>
      </c>
      <c r="FO22" s="16" t="str">
        <f t="shared" si="26"/>
        <v>#VALUE!</v>
      </c>
      <c r="FP22" s="15">
        <v>1.0</v>
      </c>
      <c r="FQ22" s="15" t="s">
        <v>365</v>
      </c>
      <c r="FR22" s="16">
        <v>45329.0</v>
      </c>
      <c r="FS22" s="15">
        <f t="shared" si="32"/>
        <v>42</v>
      </c>
      <c r="FT22" s="15">
        <v>0.0</v>
      </c>
      <c r="FU22" s="15">
        <v>8.5</v>
      </c>
      <c r="FV22" s="15">
        <v>1.0</v>
      </c>
      <c r="FW22" s="15">
        <v>0.0</v>
      </c>
      <c r="FX22" s="15" t="s">
        <v>428</v>
      </c>
      <c r="FY22" s="15">
        <v>27.0</v>
      </c>
      <c r="FZ22" s="15">
        <v>1.05</v>
      </c>
      <c r="GA22" s="15">
        <v>37.7</v>
      </c>
      <c r="GB22" s="15" t="s">
        <v>222</v>
      </c>
      <c r="GC22" s="15">
        <v>79.0</v>
      </c>
      <c r="GD22" s="15">
        <v>8.5</v>
      </c>
      <c r="GE22" s="15">
        <v>16.5</v>
      </c>
      <c r="GF22" s="15">
        <v>30.0</v>
      </c>
      <c r="GG22" s="15">
        <f t="shared" si="20"/>
        <v>0.6202531646</v>
      </c>
      <c r="GH22" s="15">
        <v>90.0</v>
      </c>
      <c r="GI22" s="15"/>
      <c r="GJ22" s="15"/>
      <c r="GK22" s="15"/>
      <c r="GL22" s="15"/>
      <c r="GM22" s="15">
        <v>30.0</v>
      </c>
      <c r="GN22" s="15">
        <v>2.4</v>
      </c>
      <c r="GO22" s="15">
        <v>18.0</v>
      </c>
      <c r="GP22" s="16">
        <v>45329.0</v>
      </c>
      <c r="GQ22" s="15">
        <v>90.0</v>
      </c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 t="s">
        <v>222</v>
      </c>
      <c r="HG22" s="15">
        <v>179.0</v>
      </c>
      <c r="HH22" s="15">
        <v>123.0</v>
      </c>
      <c r="HI22" s="15">
        <v>68.4</v>
      </c>
      <c r="HJ22" s="15" t="s">
        <v>222</v>
      </c>
      <c r="HK22" s="15" t="s">
        <v>503</v>
      </c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</row>
    <row r="23" ht="15.75" customHeight="1">
      <c r="A23" s="27" t="s">
        <v>218</v>
      </c>
      <c r="B23" s="15" t="s">
        <v>504</v>
      </c>
      <c r="C23" s="15">
        <v>1.6045992E7</v>
      </c>
      <c r="D23" s="16">
        <v>28891.0</v>
      </c>
      <c r="E23" s="16">
        <v>45299.0</v>
      </c>
      <c r="F23" s="16">
        <v>45341.0</v>
      </c>
      <c r="G23" s="16">
        <v>45300.0</v>
      </c>
      <c r="H23" s="15">
        <f t="shared" si="1"/>
        <v>44.95616438</v>
      </c>
      <c r="I23" s="15">
        <v>0.0</v>
      </c>
      <c r="J23" s="15">
        <f t="shared" si="2"/>
        <v>42</v>
      </c>
      <c r="K23" s="15">
        <v>1.0</v>
      </c>
      <c r="L23" s="15">
        <v>40.0</v>
      </c>
      <c r="M23" s="15">
        <v>1.58</v>
      </c>
      <c r="N23" s="17">
        <f t="shared" si="3"/>
        <v>16.02307323</v>
      </c>
      <c r="O23" s="15">
        <v>2.0</v>
      </c>
      <c r="P23" s="15" t="s">
        <v>505</v>
      </c>
      <c r="Q23" s="15">
        <v>0.0</v>
      </c>
      <c r="R23" s="15">
        <v>0.0</v>
      </c>
      <c r="S23" s="15" t="s">
        <v>506</v>
      </c>
      <c r="T23" s="15">
        <v>0.0</v>
      </c>
      <c r="U23" s="15">
        <v>0.0</v>
      </c>
      <c r="V23" s="15">
        <v>0.0</v>
      </c>
      <c r="W23" s="15" t="s">
        <v>507</v>
      </c>
      <c r="X23" s="18">
        <v>0.4041666666666666</v>
      </c>
      <c r="Y23" s="18">
        <v>0.6</v>
      </c>
      <c r="Z23" s="19">
        <f t="shared" si="4"/>
        <v>0.1958333333</v>
      </c>
      <c r="AA23" s="18">
        <f t="shared" si="5"/>
        <v>282</v>
      </c>
      <c r="AB23" s="15">
        <v>2.0</v>
      </c>
      <c r="AC23" s="15">
        <v>0.0</v>
      </c>
      <c r="AD23" s="15" t="s">
        <v>222</v>
      </c>
      <c r="AE23" s="15" t="s">
        <v>222</v>
      </c>
      <c r="AF23" s="15">
        <v>0.0</v>
      </c>
      <c r="AG23" s="15" t="s">
        <v>224</v>
      </c>
      <c r="AH23" s="15" t="s">
        <v>222</v>
      </c>
      <c r="AI23" s="15">
        <v>0.0</v>
      </c>
      <c r="AJ23" s="15">
        <v>1.0</v>
      </c>
      <c r="AK23" s="15">
        <v>0.0</v>
      </c>
      <c r="AL23" s="15" t="s">
        <v>222</v>
      </c>
      <c r="AM23" s="15" t="s">
        <v>222</v>
      </c>
      <c r="AN23" s="15" t="s">
        <v>222</v>
      </c>
      <c r="AO23" s="15" t="s">
        <v>508</v>
      </c>
      <c r="AP23" s="15" t="s">
        <v>509</v>
      </c>
      <c r="AQ23" s="16">
        <v>45313.0</v>
      </c>
      <c r="AR23" s="15">
        <f>AQ23-G23</f>
        <v>13</v>
      </c>
      <c r="AS23" s="15">
        <v>0.0</v>
      </c>
      <c r="AT23" s="15" t="s">
        <v>222</v>
      </c>
      <c r="AU23" s="15" t="s">
        <v>222</v>
      </c>
      <c r="AV23" s="15" t="s">
        <v>222</v>
      </c>
      <c r="AW23" s="15" t="s">
        <v>295</v>
      </c>
      <c r="AX23" s="15" t="s">
        <v>225</v>
      </c>
      <c r="AY23" s="15">
        <v>0.0</v>
      </c>
      <c r="AZ23" s="15">
        <v>1.0</v>
      </c>
      <c r="BA23" s="15">
        <v>2.0</v>
      </c>
      <c r="BB23" s="15" t="s">
        <v>510</v>
      </c>
      <c r="BC23" s="15" t="s">
        <v>222</v>
      </c>
      <c r="BD23" s="15" t="s">
        <v>228</v>
      </c>
      <c r="BE23" s="15">
        <v>0.0</v>
      </c>
      <c r="BF23" s="15">
        <v>1.8</v>
      </c>
      <c r="BG23" s="15" t="s">
        <v>249</v>
      </c>
      <c r="BH23" s="15">
        <v>2.0</v>
      </c>
      <c r="BI23" s="15">
        <v>0.0</v>
      </c>
      <c r="BJ23" s="15" t="s">
        <v>222</v>
      </c>
      <c r="BK23" s="15">
        <v>3.0</v>
      </c>
      <c r="BL23" s="15">
        <v>1.0</v>
      </c>
      <c r="BM23" s="15" t="s">
        <v>511</v>
      </c>
      <c r="BN23" s="15">
        <v>1.0</v>
      </c>
      <c r="BO23" s="15">
        <v>1.0</v>
      </c>
      <c r="BP23" s="15" t="s">
        <v>222</v>
      </c>
      <c r="BQ23" s="15" t="s">
        <v>222</v>
      </c>
      <c r="BR23" s="15" t="s">
        <v>222</v>
      </c>
      <c r="BS23" s="15">
        <v>0.0</v>
      </c>
      <c r="BT23" s="15" t="s">
        <v>222</v>
      </c>
      <c r="BU23" s="15" t="s">
        <v>222</v>
      </c>
      <c r="BV23" s="15" t="s">
        <v>222</v>
      </c>
      <c r="BW23" s="15">
        <v>1.0</v>
      </c>
      <c r="BX23" s="15">
        <v>4.0</v>
      </c>
      <c r="BY23" s="15">
        <v>19.0</v>
      </c>
      <c r="BZ23" s="15">
        <f t="shared" si="6"/>
        <v>0.2105263158</v>
      </c>
      <c r="CA23" s="15">
        <v>2.0</v>
      </c>
      <c r="CB23" s="15">
        <v>1.0</v>
      </c>
      <c r="CC23" s="15">
        <v>1.0</v>
      </c>
      <c r="CD23" s="15" t="s">
        <v>224</v>
      </c>
      <c r="CE23" s="15">
        <v>1.0</v>
      </c>
      <c r="CF23" s="15" t="s">
        <v>224</v>
      </c>
      <c r="CG23" s="15">
        <v>16.3</v>
      </c>
      <c r="CH23" s="15">
        <v>11.9</v>
      </c>
      <c r="CI23" s="15" t="s">
        <v>512</v>
      </c>
      <c r="CJ23" s="15" t="s">
        <v>513</v>
      </c>
      <c r="CK23" s="15">
        <v>0.0</v>
      </c>
      <c r="CL23" s="15" t="s">
        <v>222</v>
      </c>
      <c r="CM23" s="15" t="s">
        <v>222</v>
      </c>
      <c r="CN23" s="15" t="s">
        <v>222</v>
      </c>
      <c r="CO23" s="15">
        <v>10.0</v>
      </c>
      <c r="CP23" s="15">
        <v>50.0</v>
      </c>
      <c r="CQ23" s="15">
        <v>0.0</v>
      </c>
      <c r="CR23" s="15">
        <v>0.0</v>
      </c>
      <c r="CS23" s="15">
        <v>0.0</v>
      </c>
      <c r="CT23" s="15">
        <v>0.0</v>
      </c>
      <c r="CU23" s="15">
        <v>0.0</v>
      </c>
      <c r="CV23" s="15" t="s">
        <v>491</v>
      </c>
      <c r="CW23" s="16">
        <v>45303.0</v>
      </c>
      <c r="CX23" s="15">
        <v>150.0</v>
      </c>
      <c r="CY23" s="15">
        <f t="shared" si="28"/>
        <v>3.983333333</v>
      </c>
      <c r="CZ23" s="15">
        <v>239.0</v>
      </c>
      <c r="DA23" s="15">
        <f t="shared" si="29"/>
        <v>0.34</v>
      </c>
      <c r="DB23" s="15">
        <v>20.4</v>
      </c>
      <c r="DC23" s="15">
        <v>1.0</v>
      </c>
      <c r="DD23" s="15">
        <v>1.0</v>
      </c>
      <c r="DE23" s="16">
        <v>45305.0</v>
      </c>
      <c r="DF23" s="15">
        <v>200.0</v>
      </c>
      <c r="DG23" s="15">
        <f t="shared" si="30"/>
        <v>0.4266666667</v>
      </c>
      <c r="DH23" s="15">
        <v>25.6</v>
      </c>
      <c r="DI23" s="15">
        <f t="shared" si="31"/>
        <v>0.3533333333</v>
      </c>
      <c r="DJ23" s="15">
        <v>21.2</v>
      </c>
      <c r="DK23" s="15">
        <v>0.0</v>
      </c>
      <c r="DL23" s="15">
        <v>1.0</v>
      </c>
      <c r="DM23" s="15">
        <v>1.0</v>
      </c>
      <c r="DN23" s="15">
        <v>0.0</v>
      </c>
      <c r="DO23" s="15">
        <v>1.0</v>
      </c>
      <c r="DP23" s="15">
        <v>2.0</v>
      </c>
      <c r="DQ23" s="15">
        <v>0.0</v>
      </c>
      <c r="DR23" s="15">
        <v>0.0</v>
      </c>
      <c r="DS23" s="15" t="s">
        <v>222</v>
      </c>
      <c r="DT23" s="15">
        <v>0.0</v>
      </c>
      <c r="DU23" s="15" t="s">
        <v>222</v>
      </c>
      <c r="DV23" s="15">
        <v>0.0</v>
      </c>
      <c r="DW23" s="15" t="s">
        <v>222</v>
      </c>
      <c r="DX23" s="15">
        <v>0.0</v>
      </c>
      <c r="DY23" s="15" t="s">
        <v>222</v>
      </c>
      <c r="DZ23" s="15">
        <v>0.0</v>
      </c>
      <c r="EA23" s="15">
        <v>0.0</v>
      </c>
      <c r="EB23" s="15">
        <v>0.0</v>
      </c>
      <c r="EC23" s="15">
        <v>0.0</v>
      </c>
      <c r="ED23" s="15">
        <v>0.0</v>
      </c>
      <c r="EE23" s="15" t="s">
        <v>390</v>
      </c>
      <c r="EF23" s="16">
        <v>45303.0</v>
      </c>
      <c r="EG23" s="15">
        <v>0.0</v>
      </c>
      <c r="EH23" s="15">
        <f>EF23-G23</f>
        <v>3</v>
      </c>
      <c r="EI23" s="15">
        <v>1.0</v>
      </c>
      <c r="EJ23" s="16">
        <v>45341.0</v>
      </c>
      <c r="EK23" s="16">
        <v>45344.0</v>
      </c>
      <c r="EL23" s="15">
        <f t="shared" si="34"/>
        <v>3</v>
      </c>
      <c r="EM23" s="15">
        <v>0.0</v>
      </c>
      <c r="EN23" s="15">
        <v>0.0</v>
      </c>
      <c r="EO23" s="15" t="s">
        <v>222</v>
      </c>
      <c r="EP23" s="15" t="s">
        <v>222</v>
      </c>
      <c r="EQ23" s="15" t="s">
        <v>222</v>
      </c>
      <c r="ER23" s="16">
        <v>45303.0</v>
      </c>
      <c r="ES23" s="16">
        <v>45306.0</v>
      </c>
      <c r="ET23" s="15">
        <f t="shared" si="11"/>
        <v>3</v>
      </c>
      <c r="EU23" s="15">
        <f t="shared" si="12"/>
        <v>3</v>
      </c>
      <c r="EV23" s="16">
        <v>45307.0</v>
      </c>
      <c r="EW23" s="15">
        <f t="shared" si="13"/>
        <v>7</v>
      </c>
      <c r="EX23" s="15">
        <v>0.0</v>
      </c>
      <c r="EY23" s="15">
        <v>0.0</v>
      </c>
      <c r="EZ23" s="15">
        <v>0.0</v>
      </c>
      <c r="FA23" s="15">
        <v>1.0</v>
      </c>
      <c r="FB23" s="15" t="s">
        <v>236</v>
      </c>
      <c r="FC23" s="20">
        <v>45371.0</v>
      </c>
      <c r="FD23" s="15" t="s">
        <v>222</v>
      </c>
      <c r="FE23" s="15" t="s">
        <v>222</v>
      </c>
      <c r="FF23" s="16" t="str">
        <f t="shared" si="14"/>
        <v>#VALUE!</v>
      </c>
      <c r="FG23" s="15" t="s">
        <v>222</v>
      </c>
      <c r="FH23" s="15">
        <v>0.0</v>
      </c>
      <c r="FI23" s="15" t="s">
        <v>222</v>
      </c>
      <c r="FJ23" s="15" t="s">
        <v>222</v>
      </c>
      <c r="FK23" s="15">
        <f t="shared" si="15"/>
        <v>72</v>
      </c>
      <c r="FL23" s="15">
        <v>1.0</v>
      </c>
      <c r="FM23" s="15" t="s">
        <v>222</v>
      </c>
      <c r="FN23" s="16">
        <v>45332.0</v>
      </c>
      <c r="FO23" s="15">
        <f t="shared" si="26"/>
        <v>32</v>
      </c>
      <c r="FP23" s="15">
        <v>1.0</v>
      </c>
      <c r="FQ23" s="15" t="s">
        <v>365</v>
      </c>
      <c r="FR23" s="16">
        <v>45341.0</v>
      </c>
      <c r="FS23" s="15">
        <f t="shared" si="32"/>
        <v>41</v>
      </c>
      <c r="FT23" s="15">
        <v>0.0</v>
      </c>
      <c r="FU23" s="15">
        <v>5.6</v>
      </c>
      <c r="FV23" s="15">
        <v>2.0</v>
      </c>
      <c r="FW23" s="15">
        <v>0.0</v>
      </c>
      <c r="FX23" s="15" t="s">
        <v>514</v>
      </c>
      <c r="FY23" s="15">
        <v>15.0</v>
      </c>
      <c r="FZ23" s="15">
        <v>0.9</v>
      </c>
      <c r="GA23" s="15">
        <v>40.1</v>
      </c>
      <c r="GB23" s="15">
        <v>5.0</v>
      </c>
      <c r="GC23" s="15">
        <v>57.0</v>
      </c>
      <c r="GD23" s="15">
        <v>5.6</v>
      </c>
      <c r="GE23" s="15">
        <v>11.4</v>
      </c>
      <c r="GF23" s="15">
        <v>19.0</v>
      </c>
      <c r="GG23" s="15">
        <f t="shared" si="20"/>
        <v>0.6666666667</v>
      </c>
      <c r="GH23" s="15">
        <v>39.0</v>
      </c>
      <c r="GI23" s="15">
        <v>1.35</v>
      </c>
      <c r="GJ23" s="15" t="s">
        <v>222</v>
      </c>
      <c r="GK23" s="15">
        <v>24.3</v>
      </c>
      <c r="GL23" s="15">
        <v>18.2</v>
      </c>
      <c r="GM23" s="15">
        <v>19.0</v>
      </c>
      <c r="GN23" s="15">
        <v>3.8</v>
      </c>
      <c r="GO23" s="15">
        <v>18.6</v>
      </c>
      <c r="GP23" s="16">
        <v>45366.0</v>
      </c>
      <c r="GQ23" s="15">
        <v>39.8</v>
      </c>
      <c r="GR23" s="15" t="s">
        <v>222</v>
      </c>
      <c r="GS23" s="15" t="s">
        <v>222</v>
      </c>
      <c r="GT23" s="15">
        <v>40.0</v>
      </c>
      <c r="GU23" s="15">
        <v>18.2</v>
      </c>
      <c r="GV23" s="15"/>
      <c r="GW23" s="15"/>
      <c r="GX23" s="15"/>
      <c r="GY23" s="15"/>
      <c r="GZ23" s="15"/>
      <c r="HA23" s="15">
        <v>15.0</v>
      </c>
      <c r="HB23" s="15">
        <v>4.2</v>
      </c>
      <c r="HC23" s="15">
        <v>14.7</v>
      </c>
      <c r="HD23" s="15">
        <v>1.0</v>
      </c>
      <c r="HE23" s="15">
        <v>0.0</v>
      </c>
      <c r="HF23" s="15">
        <v>41.5</v>
      </c>
      <c r="HG23" s="15">
        <v>79.5</v>
      </c>
      <c r="HH23" s="15">
        <v>83.5</v>
      </c>
      <c r="HI23" s="15">
        <v>57.3</v>
      </c>
      <c r="HJ23" s="15">
        <v>38.1</v>
      </c>
      <c r="HK23" s="15" t="s">
        <v>503</v>
      </c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</row>
    <row r="24" ht="15.75" customHeight="1">
      <c r="A24" s="27" t="s">
        <v>218</v>
      </c>
      <c r="B24" s="15" t="s">
        <v>515</v>
      </c>
      <c r="C24" s="15">
        <v>1.0003581E7</v>
      </c>
      <c r="D24" s="16">
        <v>15374.0</v>
      </c>
      <c r="E24" s="16">
        <v>45326.0</v>
      </c>
      <c r="F24" s="16">
        <v>45345.0</v>
      </c>
      <c r="G24" s="16">
        <v>45327.0</v>
      </c>
      <c r="H24" s="15">
        <f t="shared" si="1"/>
        <v>82.0630137</v>
      </c>
      <c r="I24" s="15">
        <v>1.0</v>
      </c>
      <c r="J24" s="15">
        <f t="shared" si="2"/>
        <v>19</v>
      </c>
      <c r="K24" s="15">
        <v>1.0</v>
      </c>
      <c r="L24" s="15">
        <v>51.0</v>
      </c>
      <c r="M24" s="15">
        <v>1.52</v>
      </c>
      <c r="N24" s="17">
        <f t="shared" si="3"/>
        <v>22.07409972</v>
      </c>
      <c r="O24" s="15">
        <v>3.0</v>
      </c>
      <c r="P24" s="15" t="s">
        <v>516</v>
      </c>
      <c r="Q24" s="15">
        <v>0.0</v>
      </c>
      <c r="R24" s="15">
        <v>0.0</v>
      </c>
      <c r="S24" s="15" t="s">
        <v>517</v>
      </c>
      <c r="T24" s="15">
        <v>1.0</v>
      </c>
      <c r="U24" s="15">
        <v>0.0</v>
      </c>
      <c r="V24" s="15">
        <v>0.0</v>
      </c>
      <c r="W24" s="15">
        <v>1.0</v>
      </c>
      <c r="X24" s="18">
        <v>0.40208333333333335</v>
      </c>
      <c r="Y24" s="18">
        <v>0.5812499999999999</v>
      </c>
      <c r="Z24" s="19">
        <f t="shared" si="4"/>
        <v>0.1791666667</v>
      </c>
      <c r="AA24" s="18">
        <f t="shared" si="5"/>
        <v>258</v>
      </c>
      <c r="AB24" s="15">
        <v>2.0</v>
      </c>
      <c r="AC24" s="15">
        <v>0.0</v>
      </c>
      <c r="AD24" s="15" t="s">
        <v>222</v>
      </c>
      <c r="AE24" s="15" t="s">
        <v>222</v>
      </c>
      <c r="AF24" s="15">
        <v>0.0</v>
      </c>
      <c r="AG24" s="15" t="s">
        <v>224</v>
      </c>
      <c r="AH24" s="15" t="s">
        <v>518</v>
      </c>
      <c r="AI24" s="15">
        <v>0.0</v>
      </c>
      <c r="AJ24" s="15">
        <v>1.0</v>
      </c>
      <c r="AK24" s="15">
        <v>0.0</v>
      </c>
      <c r="AL24" s="15" t="s">
        <v>222</v>
      </c>
      <c r="AM24" s="15" t="s">
        <v>222</v>
      </c>
      <c r="AN24" s="15" t="s">
        <v>222</v>
      </c>
      <c r="AO24" s="15">
        <v>0.0</v>
      </c>
      <c r="AP24" s="15" t="s">
        <v>222</v>
      </c>
      <c r="AQ24" s="15" t="s">
        <v>222</v>
      </c>
      <c r="AR24" s="15" t="s">
        <v>222</v>
      </c>
      <c r="AS24" s="15">
        <v>0.0</v>
      </c>
      <c r="AT24" s="15" t="s">
        <v>222</v>
      </c>
      <c r="AU24" s="15" t="s">
        <v>222</v>
      </c>
      <c r="AV24" s="15" t="s">
        <v>222</v>
      </c>
      <c r="AW24" s="15" t="s">
        <v>295</v>
      </c>
      <c r="AX24" s="15" t="s">
        <v>225</v>
      </c>
      <c r="AY24" s="15">
        <v>0.0</v>
      </c>
      <c r="AZ24" s="15">
        <v>1.0</v>
      </c>
      <c r="BA24" s="15">
        <v>2.0</v>
      </c>
      <c r="BB24" s="15" t="s">
        <v>519</v>
      </c>
      <c r="BC24" s="15" t="s">
        <v>222</v>
      </c>
      <c r="BD24" s="15" t="s">
        <v>228</v>
      </c>
      <c r="BE24" s="15" t="s">
        <v>222</v>
      </c>
      <c r="BF24" s="15">
        <v>3.0</v>
      </c>
      <c r="BG24" s="15">
        <v>2.0</v>
      </c>
      <c r="BH24" s="15">
        <v>2.0</v>
      </c>
      <c r="BI24" s="15">
        <v>1.0</v>
      </c>
      <c r="BJ24" s="15" t="s">
        <v>520</v>
      </c>
      <c r="BK24" s="15">
        <v>4.0</v>
      </c>
      <c r="BL24" s="15">
        <v>0.0</v>
      </c>
      <c r="BM24" s="15" t="s">
        <v>222</v>
      </c>
      <c r="BN24" s="15">
        <v>1.0</v>
      </c>
      <c r="BO24" s="15">
        <v>2.0</v>
      </c>
      <c r="BP24" s="15" t="s">
        <v>222</v>
      </c>
      <c r="BQ24" s="15" t="s">
        <v>222</v>
      </c>
      <c r="BR24" s="15" t="s">
        <v>222</v>
      </c>
      <c r="BS24" s="15">
        <v>0.0</v>
      </c>
      <c r="BT24" s="15" t="s">
        <v>222</v>
      </c>
      <c r="BU24" s="15" t="s">
        <v>222</v>
      </c>
      <c r="BV24" s="15" t="s">
        <v>222</v>
      </c>
      <c r="BW24" s="15">
        <v>1.0</v>
      </c>
      <c r="BX24" s="15">
        <v>6.0</v>
      </c>
      <c r="BY24" s="15">
        <v>28.0</v>
      </c>
      <c r="BZ24" s="15">
        <f t="shared" si="6"/>
        <v>0.2142857143</v>
      </c>
      <c r="CA24" s="15">
        <v>2.0</v>
      </c>
      <c r="CB24" s="15">
        <v>1.0</v>
      </c>
      <c r="CC24" s="15">
        <v>1.0</v>
      </c>
      <c r="CD24" s="15" t="s">
        <v>224</v>
      </c>
      <c r="CE24" s="15">
        <v>1.0</v>
      </c>
      <c r="CF24" s="15" t="s">
        <v>224</v>
      </c>
      <c r="CG24" s="15">
        <v>15.0</v>
      </c>
      <c r="CH24" s="15">
        <v>12.0</v>
      </c>
      <c r="CI24" s="15" t="s">
        <v>521</v>
      </c>
      <c r="CJ24" s="15"/>
      <c r="CK24" s="15" t="s">
        <v>522</v>
      </c>
      <c r="CL24" s="15" t="s">
        <v>234</v>
      </c>
      <c r="CM24" s="16">
        <v>45328.0</v>
      </c>
      <c r="CN24" s="15">
        <f t="shared" ref="CN24:CN31" si="35">CM24-G24</f>
        <v>1</v>
      </c>
      <c r="CO24" s="15">
        <v>12.0</v>
      </c>
      <c r="CP24" s="15">
        <v>200.0</v>
      </c>
      <c r="CQ24" s="15">
        <v>1.0</v>
      </c>
      <c r="CR24" s="15">
        <v>0.0</v>
      </c>
      <c r="CS24" s="15">
        <v>0.0</v>
      </c>
      <c r="CT24" s="15">
        <v>1.0</v>
      </c>
      <c r="CU24" s="15">
        <v>2.0</v>
      </c>
      <c r="CV24" s="15" t="s">
        <v>235</v>
      </c>
      <c r="CW24" s="16">
        <v>45330.0</v>
      </c>
      <c r="CX24" s="15">
        <v>300.0</v>
      </c>
      <c r="CY24" s="15">
        <f t="shared" si="28"/>
        <v>0.425</v>
      </c>
      <c r="CZ24" s="15">
        <v>25.5</v>
      </c>
      <c r="DA24" s="15">
        <f t="shared" si="29"/>
        <v>0.9233333333</v>
      </c>
      <c r="DB24" s="15">
        <v>55.4</v>
      </c>
      <c r="DC24" s="15">
        <v>0.0</v>
      </c>
      <c r="DD24" s="15">
        <v>0.0</v>
      </c>
      <c r="DE24" s="16">
        <v>45332.0</v>
      </c>
      <c r="DF24" s="15">
        <v>100.0</v>
      </c>
      <c r="DG24" s="15">
        <f t="shared" si="30"/>
        <v>1.046666667</v>
      </c>
      <c r="DH24" s="15">
        <v>62.8</v>
      </c>
      <c r="DI24" s="15">
        <f t="shared" si="31"/>
        <v>2.1</v>
      </c>
      <c r="DJ24" s="15">
        <v>126.0</v>
      </c>
      <c r="DK24" s="15">
        <v>0.0</v>
      </c>
      <c r="DL24" s="15">
        <v>0.0</v>
      </c>
      <c r="DM24" s="15">
        <v>1.0</v>
      </c>
      <c r="DN24" s="15">
        <v>0.0</v>
      </c>
      <c r="DO24" s="15">
        <v>0.0</v>
      </c>
      <c r="DP24" s="15">
        <v>0.0</v>
      </c>
      <c r="DQ24" s="15">
        <v>0.0</v>
      </c>
      <c r="DR24" s="15">
        <v>1.0</v>
      </c>
      <c r="DS24" s="15" t="s">
        <v>523</v>
      </c>
      <c r="DT24" s="15">
        <v>0.0</v>
      </c>
      <c r="DU24" s="15" t="s">
        <v>222</v>
      </c>
      <c r="DV24" s="15">
        <v>0.0</v>
      </c>
      <c r="DW24" s="15" t="s">
        <v>222</v>
      </c>
      <c r="DX24" s="15">
        <v>0.0</v>
      </c>
      <c r="DY24" s="15" t="s">
        <v>222</v>
      </c>
      <c r="DZ24" s="15">
        <v>0.0</v>
      </c>
      <c r="EA24" s="15">
        <v>0.0</v>
      </c>
      <c r="EB24" s="15">
        <v>1.0</v>
      </c>
      <c r="EC24" s="15">
        <v>0.0</v>
      </c>
      <c r="ED24" s="15">
        <v>0.0</v>
      </c>
      <c r="EE24" s="15" t="s">
        <v>222</v>
      </c>
      <c r="EF24" s="15" t="s">
        <v>222</v>
      </c>
      <c r="EG24" s="15">
        <v>0.0</v>
      </c>
      <c r="EH24" s="15" t="s">
        <v>222</v>
      </c>
      <c r="EI24" s="15">
        <v>1.0</v>
      </c>
      <c r="EJ24" s="16">
        <v>45341.0</v>
      </c>
      <c r="EK24" s="16">
        <v>45344.0</v>
      </c>
      <c r="EL24" s="15">
        <f t="shared" si="34"/>
        <v>3</v>
      </c>
      <c r="EM24" s="15">
        <v>1.0</v>
      </c>
      <c r="EN24" s="15">
        <v>0.0</v>
      </c>
      <c r="EO24" s="15" t="s">
        <v>222</v>
      </c>
      <c r="EP24" s="15" t="s">
        <v>222</v>
      </c>
      <c r="EQ24" s="15" t="s">
        <v>222</v>
      </c>
      <c r="ER24" s="16">
        <v>45332.0</v>
      </c>
      <c r="ES24" s="16">
        <v>45352.0</v>
      </c>
      <c r="ET24" s="15">
        <f t="shared" si="11"/>
        <v>5</v>
      </c>
      <c r="EU24" s="15">
        <f t="shared" si="12"/>
        <v>20</v>
      </c>
      <c r="EV24" s="16">
        <v>45331.0</v>
      </c>
      <c r="EW24" s="15">
        <f t="shared" si="13"/>
        <v>4</v>
      </c>
      <c r="EX24" s="15">
        <v>0.0</v>
      </c>
      <c r="EY24" s="15">
        <v>0.0</v>
      </c>
      <c r="EZ24" s="15">
        <v>0.0</v>
      </c>
      <c r="FA24" s="15">
        <v>1.0</v>
      </c>
      <c r="FB24" s="15" t="s">
        <v>236</v>
      </c>
      <c r="FC24" s="20">
        <v>45470.0</v>
      </c>
      <c r="FD24" s="15">
        <v>0.0</v>
      </c>
      <c r="FE24" s="16">
        <v>45469.0</v>
      </c>
      <c r="FF24" s="15">
        <f t="shared" si="14"/>
        <v>142</v>
      </c>
      <c r="FG24" s="15">
        <v>1.0</v>
      </c>
      <c r="FH24" s="15">
        <v>0.0</v>
      </c>
      <c r="FI24" s="15" t="s">
        <v>222</v>
      </c>
      <c r="FJ24" s="15" t="s">
        <v>222</v>
      </c>
      <c r="FK24" s="15">
        <f t="shared" si="15"/>
        <v>144</v>
      </c>
      <c r="FL24" s="15">
        <v>0.0</v>
      </c>
      <c r="FM24" s="15" t="s">
        <v>222</v>
      </c>
      <c r="FN24" s="15" t="s">
        <v>222</v>
      </c>
      <c r="FO24" s="16" t="str">
        <f t="shared" si="26"/>
        <v>#VALUE!</v>
      </c>
      <c r="FP24" s="15">
        <v>0.0</v>
      </c>
      <c r="FQ24" s="15" t="s">
        <v>222</v>
      </c>
      <c r="FR24" s="15" t="s">
        <v>222</v>
      </c>
      <c r="FS24" s="16" t="str">
        <f t="shared" si="32"/>
        <v>#VALUE!</v>
      </c>
      <c r="FT24" s="15">
        <v>0.0</v>
      </c>
      <c r="FU24" s="15">
        <v>6.2</v>
      </c>
      <c r="FV24" s="15">
        <v>2.0</v>
      </c>
      <c r="FW24" s="15">
        <v>0.0</v>
      </c>
      <c r="FX24" s="15" t="s">
        <v>300</v>
      </c>
      <c r="FY24" s="15">
        <v>24.0</v>
      </c>
      <c r="FZ24" s="15" t="s">
        <v>222</v>
      </c>
      <c r="GA24" s="15">
        <v>34.9</v>
      </c>
      <c r="GB24" s="15" t="s">
        <v>222</v>
      </c>
      <c r="GC24" s="15">
        <v>56.5</v>
      </c>
      <c r="GD24" s="15">
        <v>6.2</v>
      </c>
      <c r="GE24" s="15">
        <v>14.3</v>
      </c>
      <c r="GF24" s="15">
        <v>12.5</v>
      </c>
      <c r="GG24" s="15">
        <f t="shared" si="20"/>
        <v>0.7787610619</v>
      </c>
      <c r="GH24" s="15"/>
      <c r="GI24" s="15"/>
      <c r="GJ24" s="15"/>
      <c r="GK24" s="15"/>
      <c r="GL24" s="15"/>
      <c r="GM24" s="15">
        <v>12.5</v>
      </c>
      <c r="GN24" s="15">
        <v>3.1</v>
      </c>
      <c r="GO24" s="15">
        <v>11.7</v>
      </c>
      <c r="GP24" s="16">
        <v>45356.0</v>
      </c>
      <c r="GQ24" s="15"/>
      <c r="GR24" s="15">
        <v>1.06</v>
      </c>
      <c r="GS24" s="15">
        <v>5.5</v>
      </c>
      <c r="GT24" s="15">
        <v>33.3</v>
      </c>
      <c r="GU24" s="15">
        <v>3.1</v>
      </c>
      <c r="GV24" s="15"/>
      <c r="GW24" s="15"/>
      <c r="GX24" s="15"/>
      <c r="GY24" s="15"/>
      <c r="GZ24" s="15"/>
      <c r="HA24" s="15">
        <v>11.5</v>
      </c>
      <c r="HB24" s="15">
        <v>2.6</v>
      </c>
      <c r="HC24" s="15">
        <v>11.7</v>
      </c>
      <c r="HD24" s="15"/>
      <c r="HE24" s="15"/>
      <c r="HF24" s="15">
        <v>34.2</v>
      </c>
      <c r="HG24" s="15">
        <v>19.9</v>
      </c>
      <c r="HH24" s="15">
        <v>8.4</v>
      </c>
      <c r="HI24" s="15">
        <v>5.0</v>
      </c>
      <c r="HJ24" s="15">
        <v>9.3</v>
      </c>
      <c r="HK24" s="15" t="s">
        <v>524</v>
      </c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</row>
    <row r="25" ht="15.75" customHeight="1">
      <c r="A25" s="27" t="s">
        <v>218</v>
      </c>
      <c r="B25" s="15" t="s">
        <v>525</v>
      </c>
      <c r="C25" s="15">
        <v>3.1643592E7</v>
      </c>
      <c r="D25" s="16">
        <v>17914.0</v>
      </c>
      <c r="E25" s="16">
        <v>45362.0</v>
      </c>
      <c r="F25" s="16">
        <v>45380.0</v>
      </c>
      <c r="G25" s="16">
        <v>45363.0</v>
      </c>
      <c r="H25" s="15">
        <f t="shared" si="1"/>
        <v>75.20273973</v>
      </c>
      <c r="I25" s="15">
        <v>1.0</v>
      </c>
      <c r="J25" s="15">
        <f t="shared" si="2"/>
        <v>18</v>
      </c>
      <c r="K25" s="15">
        <v>1.0</v>
      </c>
      <c r="L25" s="15">
        <v>102.0</v>
      </c>
      <c r="M25" s="15">
        <v>1.63</v>
      </c>
      <c r="N25" s="17">
        <f t="shared" si="3"/>
        <v>38.39060559</v>
      </c>
      <c r="O25" s="15">
        <v>3.0</v>
      </c>
      <c r="P25" s="15" t="s">
        <v>526</v>
      </c>
      <c r="Q25" s="15">
        <v>0.0</v>
      </c>
      <c r="R25" s="15">
        <v>1.0</v>
      </c>
      <c r="S25" s="15" t="s">
        <v>527</v>
      </c>
      <c r="T25" s="15">
        <v>1.0</v>
      </c>
      <c r="U25" s="15">
        <v>0.0</v>
      </c>
      <c r="V25" s="15">
        <v>0.0</v>
      </c>
      <c r="W25" s="15">
        <v>1.0</v>
      </c>
      <c r="X25" s="18">
        <v>0.49722222222222223</v>
      </c>
      <c r="Y25" s="18">
        <v>0.7374999999999999</v>
      </c>
      <c r="Z25" s="19">
        <f t="shared" si="4"/>
        <v>0.2402777778</v>
      </c>
      <c r="AA25" s="18">
        <f t="shared" si="5"/>
        <v>346</v>
      </c>
      <c r="AB25" s="15">
        <v>2.0</v>
      </c>
      <c r="AC25" s="15">
        <v>0.0</v>
      </c>
      <c r="AD25" s="15" t="s">
        <v>222</v>
      </c>
      <c r="AE25" s="15" t="s">
        <v>222</v>
      </c>
      <c r="AF25" s="15">
        <v>0.0</v>
      </c>
      <c r="AG25" s="15" t="s">
        <v>295</v>
      </c>
      <c r="AH25" s="15" t="s">
        <v>222</v>
      </c>
      <c r="AI25" s="15">
        <v>0.0</v>
      </c>
      <c r="AJ25" s="15">
        <v>1.0</v>
      </c>
      <c r="AK25" s="15">
        <v>0.0</v>
      </c>
      <c r="AL25" s="15" t="s">
        <v>222</v>
      </c>
      <c r="AM25" s="15" t="s">
        <v>222</v>
      </c>
      <c r="AN25" s="15" t="s">
        <v>222</v>
      </c>
      <c r="AO25" s="15">
        <v>0.0</v>
      </c>
      <c r="AP25" s="15" t="s">
        <v>222</v>
      </c>
      <c r="AQ25" s="15" t="s">
        <v>222</v>
      </c>
      <c r="AR25" s="15" t="s">
        <v>222</v>
      </c>
      <c r="AS25" s="15">
        <v>0.0</v>
      </c>
      <c r="AT25" s="15" t="s">
        <v>222</v>
      </c>
      <c r="AU25" s="15" t="s">
        <v>222</v>
      </c>
      <c r="AV25" s="15" t="s">
        <v>222</v>
      </c>
      <c r="AW25" s="15" t="s">
        <v>295</v>
      </c>
      <c r="AX25" s="15" t="s">
        <v>225</v>
      </c>
      <c r="AY25" s="15">
        <v>0.0</v>
      </c>
      <c r="AZ25" s="15">
        <v>1.0</v>
      </c>
      <c r="BA25" s="15">
        <v>2.0</v>
      </c>
      <c r="BB25" s="15" t="s">
        <v>528</v>
      </c>
      <c r="BC25" s="15" t="s">
        <v>222</v>
      </c>
      <c r="BD25" s="15" t="s">
        <v>228</v>
      </c>
      <c r="BE25" s="15" t="s">
        <v>222</v>
      </c>
      <c r="BF25" s="15">
        <v>4.5</v>
      </c>
      <c r="BG25" s="15">
        <v>3.0</v>
      </c>
      <c r="BH25" s="15">
        <v>1.0</v>
      </c>
      <c r="BI25" s="15">
        <v>0.0</v>
      </c>
      <c r="BJ25" s="15" t="s">
        <v>222</v>
      </c>
      <c r="BK25" s="15" t="s">
        <v>529</v>
      </c>
      <c r="BL25" s="15">
        <v>0.0</v>
      </c>
      <c r="BM25" s="15" t="s">
        <v>222</v>
      </c>
      <c r="BN25" s="15">
        <v>1.0</v>
      </c>
      <c r="BO25" s="15">
        <v>5.0</v>
      </c>
      <c r="BP25" s="15" t="s">
        <v>222</v>
      </c>
      <c r="BQ25" s="15" t="s">
        <v>222</v>
      </c>
      <c r="BR25" s="15" t="s">
        <v>222</v>
      </c>
      <c r="BS25" s="15">
        <v>0.0</v>
      </c>
      <c r="BT25" s="15" t="s">
        <v>222</v>
      </c>
      <c r="BU25" s="15" t="s">
        <v>222</v>
      </c>
      <c r="BV25" s="15" t="s">
        <v>222</v>
      </c>
      <c r="BW25" s="15">
        <v>1.0</v>
      </c>
      <c r="BX25" s="15">
        <v>5.0</v>
      </c>
      <c r="BY25" s="15">
        <v>31.0</v>
      </c>
      <c r="BZ25" s="15">
        <f t="shared" si="6"/>
        <v>0.1612903226</v>
      </c>
      <c r="CA25" s="15">
        <v>1.0</v>
      </c>
      <c r="CB25" s="15">
        <v>1.0</v>
      </c>
      <c r="CC25" s="15">
        <v>1.0</v>
      </c>
      <c r="CD25" s="15" t="s">
        <v>295</v>
      </c>
      <c r="CE25" s="15">
        <v>1.0</v>
      </c>
      <c r="CF25" s="15" t="s">
        <v>224</v>
      </c>
      <c r="CG25" s="15" t="s">
        <v>222</v>
      </c>
      <c r="CH25" s="15">
        <v>12.1</v>
      </c>
      <c r="CI25" s="15" t="s">
        <v>530</v>
      </c>
      <c r="CJ25" s="15"/>
      <c r="CK25" s="15" t="s">
        <v>531</v>
      </c>
      <c r="CL25" s="15" t="s">
        <v>234</v>
      </c>
      <c r="CM25" s="16">
        <v>45365.0</v>
      </c>
      <c r="CN25" s="15">
        <f t="shared" si="35"/>
        <v>2</v>
      </c>
      <c r="CO25" s="15">
        <v>9.6</v>
      </c>
      <c r="CP25" s="15">
        <v>500.0</v>
      </c>
      <c r="CQ25" s="15">
        <v>0.0</v>
      </c>
      <c r="CR25" s="15">
        <v>0.0</v>
      </c>
      <c r="CS25" s="15">
        <v>0.0</v>
      </c>
      <c r="CT25" s="15">
        <v>0.0</v>
      </c>
      <c r="CU25" s="15">
        <v>0.0</v>
      </c>
      <c r="CV25" s="15" t="s">
        <v>285</v>
      </c>
      <c r="CW25" s="16">
        <v>45366.0</v>
      </c>
      <c r="CX25" s="15">
        <v>50.0</v>
      </c>
      <c r="CY25" s="15">
        <f t="shared" si="28"/>
        <v>0.14</v>
      </c>
      <c r="CZ25" s="15">
        <v>8.4</v>
      </c>
      <c r="DA25" s="15">
        <f t="shared" si="29"/>
        <v>0.08</v>
      </c>
      <c r="DB25" s="15">
        <v>4.8</v>
      </c>
      <c r="DC25" s="15">
        <v>0.0</v>
      </c>
      <c r="DD25" s="15">
        <v>0.0</v>
      </c>
      <c r="DE25" s="15" t="s">
        <v>222</v>
      </c>
      <c r="DF25" s="15" t="s">
        <v>222</v>
      </c>
      <c r="DG25" s="15" t="s">
        <v>222</v>
      </c>
      <c r="DH25" s="15" t="s">
        <v>222</v>
      </c>
      <c r="DI25" s="15" t="s">
        <v>222</v>
      </c>
      <c r="DJ25" s="15" t="s">
        <v>222</v>
      </c>
      <c r="DK25" s="15">
        <v>0.0</v>
      </c>
      <c r="DL25" s="15">
        <v>0.0</v>
      </c>
      <c r="DM25" s="15">
        <v>0.0</v>
      </c>
      <c r="DN25" s="15">
        <v>0.0</v>
      </c>
      <c r="DO25" s="15">
        <v>0.0</v>
      </c>
      <c r="DP25" s="15">
        <v>0.0</v>
      </c>
      <c r="DQ25" s="15">
        <v>1.0</v>
      </c>
      <c r="DR25" s="15">
        <v>0.0</v>
      </c>
      <c r="DS25" s="15" t="s">
        <v>222</v>
      </c>
      <c r="DT25" s="15">
        <v>0.0</v>
      </c>
      <c r="DU25" s="15" t="s">
        <v>222</v>
      </c>
      <c r="DV25" s="15">
        <v>0.0</v>
      </c>
      <c r="DW25" s="15" t="s">
        <v>222</v>
      </c>
      <c r="DX25" s="15">
        <v>0.0</v>
      </c>
      <c r="DY25" s="15" t="s">
        <v>222</v>
      </c>
      <c r="DZ25" s="15">
        <v>0.0</v>
      </c>
      <c r="EA25" s="15">
        <v>0.0</v>
      </c>
      <c r="EB25" s="15">
        <v>0.0</v>
      </c>
      <c r="EC25" s="15">
        <v>0.0</v>
      </c>
      <c r="ED25" s="15">
        <v>0.0</v>
      </c>
      <c r="EE25" s="15" t="s">
        <v>222</v>
      </c>
      <c r="EF25" s="15" t="s">
        <v>222</v>
      </c>
      <c r="EG25" s="15">
        <v>0.0</v>
      </c>
      <c r="EH25" s="15" t="s">
        <v>222</v>
      </c>
      <c r="EI25" s="15" t="s">
        <v>532</v>
      </c>
      <c r="EJ25" s="15" t="s">
        <v>222</v>
      </c>
      <c r="EK25" s="15" t="s">
        <v>222</v>
      </c>
      <c r="EL25" s="15" t="s">
        <v>222</v>
      </c>
      <c r="EM25" s="15" t="s">
        <v>222</v>
      </c>
      <c r="EN25" s="15">
        <v>0.0</v>
      </c>
      <c r="EO25" s="15" t="s">
        <v>222</v>
      </c>
      <c r="EP25" s="15" t="s">
        <v>222</v>
      </c>
      <c r="EQ25" s="15" t="s">
        <v>222</v>
      </c>
      <c r="ER25" s="16">
        <v>45366.0</v>
      </c>
      <c r="ES25" s="15"/>
      <c r="ET25" s="15">
        <f t="shared" si="11"/>
        <v>3</v>
      </c>
      <c r="EU25" s="16">
        <f t="shared" si="12"/>
        <v>-45366</v>
      </c>
      <c r="EV25" s="16">
        <v>45377.0</v>
      </c>
      <c r="EW25" s="15">
        <f t="shared" si="13"/>
        <v>14</v>
      </c>
      <c r="EX25" s="15">
        <v>2.0</v>
      </c>
      <c r="EY25" s="15">
        <v>0.0</v>
      </c>
      <c r="EZ25" s="15">
        <v>0.0</v>
      </c>
      <c r="FA25" s="15">
        <v>1.0</v>
      </c>
      <c r="FB25" s="15" t="s">
        <v>236</v>
      </c>
      <c r="FC25" s="20">
        <v>45389.0</v>
      </c>
      <c r="FD25" s="15" t="s">
        <v>222</v>
      </c>
      <c r="FE25" s="15" t="s">
        <v>222</v>
      </c>
      <c r="FF25" s="16" t="str">
        <f t="shared" si="14"/>
        <v>#VALUE!</v>
      </c>
      <c r="FG25" s="15" t="s">
        <v>222</v>
      </c>
      <c r="FH25" s="15">
        <v>1.0</v>
      </c>
      <c r="FI25" s="16">
        <v>45389.0</v>
      </c>
      <c r="FJ25" s="15" t="s">
        <v>533</v>
      </c>
      <c r="FK25" s="15">
        <f t="shared" si="15"/>
        <v>27</v>
      </c>
      <c r="FL25" s="15">
        <v>1.0</v>
      </c>
      <c r="FM25" s="15" t="s">
        <v>257</v>
      </c>
      <c r="FN25" s="16">
        <v>45365.0</v>
      </c>
      <c r="FO25" s="15">
        <f t="shared" si="26"/>
        <v>2</v>
      </c>
      <c r="FP25" s="15">
        <v>1.0</v>
      </c>
      <c r="FQ25" s="15" t="s">
        <v>365</v>
      </c>
      <c r="FR25" s="16">
        <v>45379.0</v>
      </c>
      <c r="FS25" s="15">
        <f t="shared" si="32"/>
        <v>16</v>
      </c>
      <c r="FT25" s="15">
        <v>0.0</v>
      </c>
      <c r="FU25" s="15">
        <v>5.7</v>
      </c>
      <c r="FV25" s="15">
        <v>2.0</v>
      </c>
      <c r="FW25" s="15">
        <v>0.0</v>
      </c>
      <c r="FX25" s="15" t="s">
        <v>300</v>
      </c>
      <c r="FY25" s="15">
        <v>25.0</v>
      </c>
      <c r="FZ25" s="15" t="s">
        <v>222</v>
      </c>
      <c r="GA25" s="15" t="s">
        <v>222</v>
      </c>
      <c r="GB25" s="15">
        <v>6.3</v>
      </c>
      <c r="GC25" s="15">
        <v>63.5</v>
      </c>
      <c r="GD25" s="15">
        <v>5.7</v>
      </c>
      <c r="GE25" s="15">
        <v>13.0</v>
      </c>
      <c r="GF25" s="15">
        <v>12.5</v>
      </c>
      <c r="GG25" s="15">
        <f t="shared" si="20"/>
        <v>0.8031496063</v>
      </c>
      <c r="GH25" s="15"/>
      <c r="GI25" s="15"/>
      <c r="GJ25" s="15"/>
      <c r="GK25" s="15"/>
      <c r="GL25" s="15"/>
      <c r="GM25" s="15">
        <v>12.5</v>
      </c>
      <c r="GN25" s="15">
        <v>1.8</v>
      </c>
      <c r="GO25" s="15">
        <v>10.9</v>
      </c>
      <c r="GP25" s="15" t="s">
        <v>222</v>
      </c>
      <c r="GQ25" s="15" t="s">
        <v>222</v>
      </c>
      <c r="GR25" s="15" t="s">
        <v>222</v>
      </c>
      <c r="GS25" s="15" t="s">
        <v>222</v>
      </c>
      <c r="GT25" s="15" t="s">
        <v>222</v>
      </c>
      <c r="GU25" s="15" t="s">
        <v>222</v>
      </c>
      <c r="GV25" s="15" t="s">
        <v>222</v>
      </c>
      <c r="GW25" s="15" t="s">
        <v>222</v>
      </c>
      <c r="GX25" s="15" t="s">
        <v>222</v>
      </c>
      <c r="GY25" s="15" t="s">
        <v>222</v>
      </c>
      <c r="GZ25" s="15" t="s">
        <v>222</v>
      </c>
      <c r="HA25" s="15" t="s">
        <v>222</v>
      </c>
      <c r="HB25" s="15" t="s">
        <v>222</v>
      </c>
      <c r="HC25" s="15" t="s">
        <v>222</v>
      </c>
      <c r="HD25" s="15" t="s">
        <v>222</v>
      </c>
      <c r="HE25" s="15"/>
      <c r="HF25" s="15" t="s">
        <v>222</v>
      </c>
      <c r="HG25" s="15">
        <v>121.0</v>
      </c>
      <c r="HH25" s="15">
        <v>75.4</v>
      </c>
      <c r="HI25" s="15">
        <v>40.3</v>
      </c>
      <c r="HJ25" s="15">
        <v>16.4</v>
      </c>
      <c r="HK25" s="15" t="s">
        <v>301</v>
      </c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</row>
    <row r="26" ht="15.75" customHeight="1">
      <c r="A26" s="27" t="s">
        <v>218</v>
      </c>
      <c r="B26" s="15" t="s">
        <v>534</v>
      </c>
      <c r="C26" s="15">
        <v>2.661682E7</v>
      </c>
      <c r="D26" s="16">
        <v>27356.0</v>
      </c>
      <c r="E26" s="16">
        <v>45390.0</v>
      </c>
      <c r="F26" s="16">
        <v>45415.0</v>
      </c>
      <c r="G26" s="16">
        <v>45390.0</v>
      </c>
      <c r="H26" s="15">
        <f t="shared" si="1"/>
        <v>49.40821918</v>
      </c>
      <c r="I26" s="15">
        <v>0.0</v>
      </c>
      <c r="J26" s="15">
        <f t="shared" si="2"/>
        <v>25</v>
      </c>
      <c r="K26" s="15">
        <v>0.0</v>
      </c>
      <c r="L26" s="15">
        <v>70.0</v>
      </c>
      <c r="M26" s="15">
        <v>1.69</v>
      </c>
      <c r="N26" s="17">
        <f t="shared" si="3"/>
        <v>24.50894577</v>
      </c>
      <c r="O26" s="15">
        <v>2.0</v>
      </c>
      <c r="P26" s="15" t="s">
        <v>535</v>
      </c>
      <c r="Q26" s="15">
        <v>1.0</v>
      </c>
      <c r="R26" s="15">
        <v>0.0</v>
      </c>
      <c r="S26" s="15" t="s">
        <v>536</v>
      </c>
      <c r="T26" s="15">
        <v>1.0</v>
      </c>
      <c r="U26" s="15">
        <v>0.0</v>
      </c>
      <c r="V26" s="15">
        <v>0.0</v>
      </c>
      <c r="W26" s="15">
        <v>1.0</v>
      </c>
      <c r="X26" s="18">
        <v>0.4173611111111111</v>
      </c>
      <c r="Y26" s="18">
        <v>0.6493055555555556</v>
      </c>
      <c r="Z26" s="19">
        <f t="shared" si="4"/>
        <v>0.2319444444</v>
      </c>
      <c r="AA26" s="18">
        <f t="shared" si="5"/>
        <v>334</v>
      </c>
      <c r="AB26" s="15">
        <v>2.0</v>
      </c>
      <c r="AC26" s="15">
        <v>0.0</v>
      </c>
      <c r="AD26" s="15" t="s">
        <v>222</v>
      </c>
      <c r="AE26" s="15" t="s">
        <v>222</v>
      </c>
      <c r="AF26" s="15" t="s">
        <v>537</v>
      </c>
      <c r="AG26" s="15" t="s">
        <v>538</v>
      </c>
      <c r="AH26" s="15" t="s">
        <v>222</v>
      </c>
      <c r="AI26" s="15">
        <v>0.0</v>
      </c>
      <c r="AJ26" s="15">
        <v>1.0</v>
      </c>
      <c r="AK26" s="15">
        <v>1.0</v>
      </c>
      <c r="AL26" s="15">
        <v>1.0</v>
      </c>
      <c r="AM26" s="15">
        <v>1.5</v>
      </c>
      <c r="AN26" s="15">
        <v>0.0</v>
      </c>
      <c r="AO26" s="15">
        <v>0.0</v>
      </c>
      <c r="AP26" s="15" t="s">
        <v>222</v>
      </c>
      <c r="AQ26" s="15" t="s">
        <v>222</v>
      </c>
      <c r="AR26" s="15" t="s">
        <v>222</v>
      </c>
      <c r="AS26" s="15">
        <v>0.0</v>
      </c>
      <c r="AT26" s="15" t="s">
        <v>222</v>
      </c>
      <c r="AU26" s="15" t="s">
        <v>222</v>
      </c>
      <c r="AV26" s="15" t="s">
        <v>222</v>
      </c>
      <c r="AW26" s="15" t="s">
        <v>538</v>
      </c>
      <c r="AX26" s="15" t="s">
        <v>225</v>
      </c>
      <c r="AY26" s="15">
        <v>0.0</v>
      </c>
      <c r="AZ26" s="15">
        <v>1.0</v>
      </c>
      <c r="BA26" s="15">
        <v>2.0</v>
      </c>
      <c r="BB26" s="15" t="s">
        <v>539</v>
      </c>
      <c r="BC26" s="15" t="s">
        <v>540</v>
      </c>
      <c r="BD26" s="15" t="s">
        <v>228</v>
      </c>
      <c r="BE26" s="15">
        <v>1.0</v>
      </c>
      <c r="BF26" s="15">
        <v>3.5</v>
      </c>
      <c r="BG26" s="15">
        <v>3.0</v>
      </c>
      <c r="BH26" s="15">
        <v>2.0</v>
      </c>
      <c r="BI26" s="15">
        <v>0.0</v>
      </c>
      <c r="BJ26" s="15" t="s">
        <v>222</v>
      </c>
      <c r="BK26" s="15">
        <v>3.0</v>
      </c>
      <c r="BL26" s="15">
        <v>0.0</v>
      </c>
      <c r="BM26" s="15" t="s">
        <v>222</v>
      </c>
      <c r="BN26" s="15">
        <v>1.0</v>
      </c>
      <c r="BO26" s="15">
        <v>10.0</v>
      </c>
      <c r="BP26" s="15" t="s">
        <v>222</v>
      </c>
      <c r="BQ26" s="15" t="s">
        <v>222</v>
      </c>
      <c r="BR26" s="15" t="s">
        <v>222</v>
      </c>
      <c r="BS26" s="15">
        <v>0.0</v>
      </c>
      <c r="BT26" s="15" t="s">
        <v>222</v>
      </c>
      <c r="BU26" s="15" t="s">
        <v>222</v>
      </c>
      <c r="BV26" s="15" t="s">
        <v>222</v>
      </c>
      <c r="BW26" s="15">
        <v>1.0</v>
      </c>
      <c r="BX26" s="15">
        <v>6.0</v>
      </c>
      <c r="BY26" s="15">
        <v>33.0</v>
      </c>
      <c r="BZ26" s="15">
        <f t="shared" si="6"/>
        <v>0.1818181818</v>
      </c>
      <c r="CA26" s="15">
        <v>1.0</v>
      </c>
      <c r="CB26" s="15">
        <v>1.0</v>
      </c>
      <c r="CC26" s="15">
        <v>1.0</v>
      </c>
      <c r="CD26" s="15" t="s">
        <v>538</v>
      </c>
      <c r="CE26" s="15">
        <v>1.0</v>
      </c>
      <c r="CF26" s="15" t="s">
        <v>538</v>
      </c>
      <c r="CG26" s="15">
        <v>5.0</v>
      </c>
      <c r="CH26" s="15">
        <v>10.6</v>
      </c>
      <c r="CI26" s="15" t="s">
        <v>541</v>
      </c>
      <c r="CJ26" s="15" t="s">
        <v>542</v>
      </c>
      <c r="CK26" s="15" t="s">
        <v>543</v>
      </c>
      <c r="CL26" s="15" t="s">
        <v>234</v>
      </c>
      <c r="CM26" s="16">
        <v>45392.0</v>
      </c>
      <c r="CN26" s="15">
        <f t="shared" si="35"/>
        <v>2</v>
      </c>
      <c r="CO26" s="15">
        <v>8.6</v>
      </c>
      <c r="CP26" s="15">
        <v>1000.0</v>
      </c>
      <c r="CQ26" s="15">
        <v>0.0</v>
      </c>
      <c r="CR26" s="15">
        <v>0.0</v>
      </c>
      <c r="CS26" s="15">
        <v>0.0</v>
      </c>
      <c r="CT26" s="15">
        <v>0.0</v>
      </c>
      <c r="CU26" s="15">
        <v>0.0</v>
      </c>
      <c r="CV26" s="15" t="s">
        <v>299</v>
      </c>
      <c r="CW26" s="16">
        <v>45393.0</v>
      </c>
      <c r="CX26" s="15">
        <v>100.0</v>
      </c>
      <c r="CY26" s="15">
        <f t="shared" si="28"/>
        <v>0.05333333333</v>
      </c>
      <c r="CZ26" s="15">
        <v>3.2</v>
      </c>
      <c r="DA26" s="15">
        <f t="shared" si="29"/>
        <v>0.1066666667</v>
      </c>
      <c r="DB26" s="15">
        <v>6.4</v>
      </c>
      <c r="DC26" s="15">
        <v>0.0</v>
      </c>
      <c r="DD26" s="15">
        <v>0.0</v>
      </c>
      <c r="DE26" s="16">
        <v>45395.0</v>
      </c>
      <c r="DF26" s="15">
        <v>50.0</v>
      </c>
      <c r="DG26" s="15">
        <f t="shared" ref="DG26:DG37" si="36">DH26/60</f>
        <v>0.055</v>
      </c>
      <c r="DH26" s="15">
        <v>3.3</v>
      </c>
      <c r="DI26" s="15">
        <f t="shared" ref="DI26:DI30" si="37">DJ26/60</f>
        <v>0.1066666667</v>
      </c>
      <c r="DJ26" s="15">
        <v>6.4</v>
      </c>
      <c r="DK26" s="15">
        <v>0.0</v>
      </c>
      <c r="DL26" s="15">
        <v>0.0</v>
      </c>
      <c r="DM26" s="15">
        <v>1.0</v>
      </c>
      <c r="DN26" s="15">
        <v>0.0</v>
      </c>
      <c r="DO26" s="15">
        <v>0.0</v>
      </c>
      <c r="DP26" s="15">
        <v>0.0</v>
      </c>
      <c r="DQ26" s="15">
        <v>1.0</v>
      </c>
      <c r="DR26" s="15">
        <v>1.0</v>
      </c>
      <c r="DS26" s="15" t="s">
        <v>544</v>
      </c>
      <c r="DT26" s="15">
        <v>0.0</v>
      </c>
      <c r="DU26" s="15" t="s">
        <v>222</v>
      </c>
      <c r="DV26" s="15">
        <v>0.0</v>
      </c>
      <c r="DW26" s="15" t="s">
        <v>222</v>
      </c>
      <c r="DX26" s="15">
        <v>0.0</v>
      </c>
      <c r="DY26" s="15" t="s">
        <v>222</v>
      </c>
      <c r="DZ26" s="15">
        <v>0.0</v>
      </c>
      <c r="EA26" s="15">
        <v>0.0</v>
      </c>
      <c r="EB26" s="15">
        <v>0.0</v>
      </c>
      <c r="EC26" s="15">
        <v>0.0</v>
      </c>
      <c r="ED26" s="15">
        <v>0.0</v>
      </c>
      <c r="EE26" s="15" t="s">
        <v>222</v>
      </c>
      <c r="EF26" s="15" t="s">
        <v>222</v>
      </c>
      <c r="EG26" s="15">
        <v>0.0</v>
      </c>
      <c r="EH26" s="15" t="s">
        <v>222</v>
      </c>
      <c r="EI26" s="15">
        <v>0.0</v>
      </c>
      <c r="EJ26" s="15" t="s">
        <v>222</v>
      </c>
      <c r="EK26" s="15" t="s">
        <v>222</v>
      </c>
      <c r="EL26" s="15" t="s">
        <v>222</v>
      </c>
      <c r="EM26" s="15" t="s">
        <v>222</v>
      </c>
      <c r="EN26" s="15">
        <v>0.0</v>
      </c>
      <c r="EO26" s="15" t="s">
        <v>222</v>
      </c>
      <c r="EP26" s="15" t="s">
        <v>222</v>
      </c>
      <c r="EQ26" s="15" t="s">
        <v>222</v>
      </c>
      <c r="ER26" s="16">
        <v>45395.0</v>
      </c>
      <c r="ES26" s="15"/>
      <c r="ET26" s="15">
        <f t="shared" si="11"/>
        <v>5</v>
      </c>
      <c r="EU26" s="16">
        <f t="shared" si="12"/>
        <v>-45395</v>
      </c>
      <c r="EV26" s="16">
        <v>45405.0</v>
      </c>
      <c r="EW26" s="15">
        <f t="shared" si="13"/>
        <v>15</v>
      </c>
      <c r="EX26" s="15">
        <v>2.0</v>
      </c>
      <c r="EY26" s="15">
        <v>0.0</v>
      </c>
      <c r="EZ26" s="15">
        <v>0.0</v>
      </c>
      <c r="FA26" s="15">
        <v>1.0</v>
      </c>
      <c r="FB26" s="15" t="s">
        <v>236</v>
      </c>
      <c r="FC26" s="20">
        <v>45453.0</v>
      </c>
      <c r="FD26" s="15" t="s">
        <v>222</v>
      </c>
      <c r="FE26" s="15" t="s">
        <v>222</v>
      </c>
      <c r="FF26" s="16" t="str">
        <f t="shared" si="14"/>
        <v>#VALUE!</v>
      </c>
      <c r="FG26" s="15" t="s">
        <v>222</v>
      </c>
      <c r="FH26" s="15">
        <v>0.0</v>
      </c>
      <c r="FI26" s="15" t="s">
        <v>222</v>
      </c>
      <c r="FJ26" s="15" t="s">
        <v>222</v>
      </c>
      <c r="FK26" s="15">
        <f t="shared" si="15"/>
        <v>63</v>
      </c>
      <c r="FL26" s="15">
        <v>1.0</v>
      </c>
      <c r="FM26" s="15" t="s">
        <v>257</v>
      </c>
      <c r="FN26" s="16">
        <v>45395.0</v>
      </c>
      <c r="FO26" s="15">
        <f t="shared" si="26"/>
        <v>5</v>
      </c>
      <c r="FP26" s="15">
        <v>1.0</v>
      </c>
      <c r="FQ26" s="15" t="s">
        <v>365</v>
      </c>
      <c r="FR26" s="16">
        <v>45406.0</v>
      </c>
      <c r="FS26" s="15">
        <f t="shared" si="32"/>
        <v>16</v>
      </c>
      <c r="FT26" s="15">
        <v>0.0</v>
      </c>
      <c r="FU26" s="15">
        <v>5.3</v>
      </c>
      <c r="FV26" s="15">
        <v>2.0</v>
      </c>
      <c r="FW26" s="15">
        <v>0.0</v>
      </c>
      <c r="FX26" s="15" t="s">
        <v>545</v>
      </c>
      <c r="FY26" s="15">
        <v>25.0</v>
      </c>
      <c r="FZ26" s="15" t="s">
        <v>222</v>
      </c>
      <c r="GA26" s="15">
        <v>40.6</v>
      </c>
      <c r="GB26" s="15">
        <v>7.6</v>
      </c>
      <c r="GC26" s="15">
        <v>74.0</v>
      </c>
      <c r="GD26" s="15">
        <v>5.3</v>
      </c>
      <c r="GE26" s="15">
        <v>11.9</v>
      </c>
      <c r="GF26" s="15">
        <v>16.0</v>
      </c>
      <c r="GG26" s="15">
        <f t="shared" si="20"/>
        <v>0.7837837838</v>
      </c>
      <c r="GH26" s="15">
        <v>69.0</v>
      </c>
      <c r="GI26" s="15">
        <v>2.0</v>
      </c>
      <c r="GJ26" s="15">
        <v>7.2</v>
      </c>
      <c r="GK26" s="15">
        <v>40.9</v>
      </c>
      <c r="GL26" s="15">
        <v>0.03</v>
      </c>
      <c r="GM26" s="15"/>
      <c r="GN26" s="15"/>
      <c r="GO26" s="15"/>
      <c r="GP26" s="16">
        <v>45449.0</v>
      </c>
      <c r="GQ26" s="15">
        <v>69.0</v>
      </c>
      <c r="GR26" s="15">
        <v>2.03</v>
      </c>
      <c r="GS26" s="15">
        <v>7.2</v>
      </c>
      <c r="GT26" s="15">
        <v>40.9</v>
      </c>
      <c r="GU26" s="15">
        <v>0.03</v>
      </c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>
        <v>112.0</v>
      </c>
      <c r="HG26" s="15">
        <v>216.0</v>
      </c>
      <c r="HH26" s="15">
        <v>175.0</v>
      </c>
      <c r="HI26" s="15">
        <v>140.0</v>
      </c>
      <c r="HJ26" s="15">
        <v>89.4</v>
      </c>
      <c r="HK26" s="15" t="s">
        <v>301</v>
      </c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</row>
    <row r="27" ht="15.75" customHeight="1">
      <c r="A27" s="27" t="s">
        <v>218</v>
      </c>
      <c r="B27" s="15" t="s">
        <v>546</v>
      </c>
      <c r="C27" s="15">
        <v>2.168405E7</v>
      </c>
      <c r="D27" s="16">
        <v>18432.0</v>
      </c>
      <c r="E27" s="16">
        <v>45460.0</v>
      </c>
      <c r="F27" s="16">
        <v>45513.0</v>
      </c>
      <c r="G27" s="16">
        <v>45462.0</v>
      </c>
      <c r="H27" s="15">
        <f t="shared" si="1"/>
        <v>74.05479452</v>
      </c>
      <c r="I27" s="15">
        <v>1.0</v>
      </c>
      <c r="J27" s="15">
        <f t="shared" si="2"/>
        <v>53</v>
      </c>
      <c r="K27" s="15">
        <v>1.0</v>
      </c>
      <c r="L27" s="15">
        <v>82.0</v>
      </c>
      <c r="M27" s="15">
        <v>1.65</v>
      </c>
      <c r="N27" s="17">
        <f t="shared" si="3"/>
        <v>30.11937557</v>
      </c>
      <c r="O27" s="15">
        <v>3.0</v>
      </c>
      <c r="P27" s="15" t="s">
        <v>547</v>
      </c>
      <c r="Q27" s="15">
        <v>1.0</v>
      </c>
      <c r="R27" s="15">
        <v>1.0</v>
      </c>
      <c r="S27" s="15" t="s">
        <v>548</v>
      </c>
      <c r="T27" s="15">
        <v>1.0</v>
      </c>
      <c r="U27" s="15">
        <v>1.0</v>
      </c>
      <c r="V27" s="15">
        <v>0.0</v>
      </c>
      <c r="W27" s="15">
        <v>1.0</v>
      </c>
      <c r="X27" s="18">
        <v>0.5930555555555556</v>
      </c>
      <c r="Y27" s="18">
        <v>0.7979166666666666</v>
      </c>
      <c r="Z27" s="19">
        <f t="shared" si="4"/>
        <v>0.2048611111</v>
      </c>
      <c r="AA27" s="18">
        <f t="shared" si="5"/>
        <v>295</v>
      </c>
      <c r="AB27" s="15">
        <v>2.0</v>
      </c>
      <c r="AC27" s="15">
        <v>0.0</v>
      </c>
      <c r="AD27" s="15" t="s">
        <v>222</v>
      </c>
      <c r="AE27" s="15" t="s">
        <v>222</v>
      </c>
      <c r="AF27" s="15">
        <v>0.0</v>
      </c>
      <c r="AG27" s="15" t="s">
        <v>295</v>
      </c>
      <c r="AH27" s="15" t="s">
        <v>222</v>
      </c>
      <c r="AI27" s="15">
        <v>0.0</v>
      </c>
      <c r="AJ27" s="15">
        <v>1.0</v>
      </c>
      <c r="AK27" s="15">
        <v>0.0</v>
      </c>
      <c r="AL27" s="15" t="s">
        <v>222</v>
      </c>
      <c r="AM27" s="15" t="s">
        <v>222</v>
      </c>
      <c r="AN27" s="15" t="s">
        <v>222</v>
      </c>
      <c r="AO27" s="15">
        <v>1.0</v>
      </c>
      <c r="AP27" s="15" t="s">
        <v>549</v>
      </c>
      <c r="AQ27" s="16">
        <v>45474.0</v>
      </c>
      <c r="AR27" s="15">
        <f t="shared" ref="AR27:AR29" si="38">AQ27-G27</f>
        <v>12</v>
      </c>
      <c r="AS27" s="15">
        <v>0.0</v>
      </c>
      <c r="AT27" s="15" t="s">
        <v>222</v>
      </c>
      <c r="AU27" s="15" t="s">
        <v>222</v>
      </c>
      <c r="AV27" s="15" t="s">
        <v>222</v>
      </c>
      <c r="AW27" s="15" t="s">
        <v>295</v>
      </c>
      <c r="AX27" s="15" t="s">
        <v>225</v>
      </c>
      <c r="AY27" s="15">
        <v>0.0</v>
      </c>
      <c r="AZ27" s="15">
        <v>1.0</v>
      </c>
      <c r="BA27" s="15">
        <v>2.0</v>
      </c>
      <c r="BB27" s="15" t="s">
        <v>550</v>
      </c>
      <c r="BC27" s="15" t="s">
        <v>222</v>
      </c>
      <c r="BD27" s="15" t="s">
        <v>228</v>
      </c>
      <c r="BE27" s="15">
        <v>1.0</v>
      </c>
      <c r="BF27" s="15">
        <v>2.7</v>
      </c>
      <c r="BG27" s="15">
        <v>2.0</v>
      </c>
      <c r="BH27" s="15">
        <v>2.0</v>
      </c>
      <c r="BI27" s="15">
        <v>0.0</v>
      </c>
      <c r="BJ27" s="15" t="s">
        <v>222</v>
      </c>
      <c r="BK27" s="15">
        <v>3.0</v>
      </c>
      <c r="BL27" s="15">
        <v>1.0</v>
      </c>
      <c r="BM27" s="15" t="s">
        <v>551</v>
      </c>
      <c r="BN27" s="15">
        <v>1.0</v>
      </c>
      <c r="BO27" s="15">
        <v>10.0</v>
      </c>
      <c r="BP27" s="15" t="s">
        <v>222</v>
      </c>
      <c r="BQ27" s="15" t="s">
        <v>222</v>
      </c>
      <c r="BR27" s="15" t="s">
        <v>222</v>
      </c>
      <c r="BS27" s="15">
        <v>0.0</v>
      </c>
      <c r="BT27" s="15" t="s">
        <v>222</v>
      </c>
      <c r="BU27" s="15" t="s">
        <v>222</v>
      </c>
      <c r="BV27" s="15" t="s">
        <v>222</v>
      </c>
      <c r="BW27" s="15">
        <v>1.0</v>
      </c>
      <c r="BX27" s="15">
        <v>9.0</v>
      </c>
      <c r="BY27" s="15">
        <v>34.0</v>
      </c>
      <c r="BZ27" s="15">
        <f t="shared" si="6"/>
        <v>0.2647058824</v>
      </c>
      <c r="CA27" s="15">
        <v>2.0</v>
      </c>
      <c r="CB27" s="15">
        <v>1.0</v>
      </c>
      <c r="CC27" s="15">
        <v>1.0</v>
      </c>
      <c r="CD27" s="15" t="s">
        <v>295</v>
      </c>
      <c r="CE27" s="15">
        <v>1.0</v>
      </c>
      <c r="CF27" s="15" t="s">
        <v>295</v>
      </c>
      <c r="CG27" s="15">
        <v>5.0</v>
      </c>
      <c r="CH27" s="15">
        <v>12.8</v>
      </c>
      <c r="CI27" s="15" t="s">
        <v>552</v>
      </c>
      <c r="CJ27" s="15"/>
      <c r="CK27" s="15" t="s">
        <v>553</v>
      </c>
      <c r="CL27" s="15" t="s">
        <v>234</v>
      </c>
      <c r="CM27" s="16">
        <v>45467.0</v>
      </c>
      <c r="CN27" s="15">
        <f t="shared" si="35"/>
        <v>5</v>
      </c>
      <c r="CO27" s="15">
        <v>9.9</v>
      </c>
      <c r="CP27" s="15">
        <v>600.0</v>
      </c>
      <c r="CQ27" s="15">
        <v>0.0</v>
      </c>
      <c r="CR27" s="15">
        <v>0.0</v>
      </c>
      <c r="CS27" s="15">
        <v>0.0</v>
      </c>
      <c r="CT27" s="15">
        <v>0.0</v>
      </c>
      <c r="CU27" s="15">
        <v>0.0</v>
      </c>
      <c r="CV27" s="15" t="s">
        <v>500</v>
      </c>
      <c r="CW27" s="16">
        <v>45464.0</v>
      </c>
      <c r="CX27" s="15">
        <v>150.0</v>
      </c>
      <c r="CY27" s="15">
        <f t="shared" si="28"/>
        <v>4.3</v>
      </c>
      <c r="CZ27" s="15">
        <v>258.0</v>
      </c>
      <c r="DA27" s="15">
        <f t="shared" si="29"/>
        <v>1.466666667</v>
      </c>
      <c r="DB27" s="15">
        <v>88.0</v>
      </c>
      <c r="DC27" s="15">
        <v>1.0</v>
      </c>
      <c r="DD27" s="15">
        <v>1.0</v>
      </c>
      <c r="DE27" s="16">
        <v>45466.0</v>
      </c>
      <c r="DF27" s="15">
        <v>800.0</v>
      </c>
      <c r="DG27" s="15">
        <f t="shared" si="36"/>
        <v>1.443333333</v>
      </c>
      <c r="DH27" s="15">
        <v>86.6</v>
      </c>
      <c r="DI27" s="15">
        <f t="shared" si="37"/>
        <v>2.7</v>
      </c>
      <c r="DJ27" s="15">
        <v>162.0</v>
      </c>
      <c r="DK27" s="15">
        <v>0.0</v>
      </c>
      <c r="DL27" s="15">
        <v>1.0</v>
      </c>
      <c r="DM27" s="15">
        <v>1.0</v>
      </c>
      <c r="DN27" s="15">
        <v>0.0</v>
      </c>
      <c r="DO27" s="15">
        <v>1.0</v>
      </c>
      <c r="DP27" s="15">
        <v>1.0</v>
      </c>
      <c r="DQ27" s="15">
        <v>1.0</v>
      </c>
      <c r="DR27" s="15">
        <v>1.0</v>
      </c>
      <c r="DS27" s="15" t="s">
        <v>554</v>
      </c>
      <c r="DT27" s="15">
        <v>0.0</v>
      </c>
      <c r="DU27" s="15" t="s">
        <v>222</v>
      </c>
      <c r="DV27" s="15">
        <v>1.0</v>
      </c>
      <c r="DW27" s="15" t="s">
        <v>555</v>
      </c>
      <c r="DX27" s="15">
        <v>0.0</v>
      </c>
      <c r="DY27" s="15" t="s">
        <v>222</v>
      </c>
      <c r="DZ27" s="15">
        <v>0.0</v>
      </c>
      <c r="EA27" s="15">
        <v>0.0</v>
      </c>
      <c r="EB27" s="15">
        <v>0.0</v>
      </c>
      <c r="EC27" s="15">
        <v>0.0</v>
      </c>
      <c r="ED27" s="15">
        <v>0.0</v>
      </c>
      <c r="EE27" s="15" t="s">
        <v>390</v>
      </c>
      <c r="EF27" s="16">
        <v>45464.0</v>
      </c>
      <c r="EG27" s="15">
        <v>0.0</v>
      </c>
      <c r="EH27" s="15">
        <f>EF27-G27</f>
        <v>2</v>
      </c>
      <c r="EI27" s="15">
        <v>0.0</v>
      </c>
      <c r="EJ27" s="15" t="s">
        <v>222</v>
      </c>
      <c r="EK27" s="15" t="s">
        <v>222</v>
      </c>
      <c r="EL27" s="15" t="s">
        <v>222</v>
      </c>
      <c r="EM27" s="15" t="s">
        <v>222</v>
      </c>
      <c r="EN27" s="15">
        <v>0.0</v>
      </c>
      <c r="EO27" s="15" t="s">
        <v>222</v>
      </c>
      <c r="EP27" s="15" t="s">
        <v>222</v>
      </c>
      <c r="EQ27" s="15" t="s">
        <v>222</v>
      </c>
      <c r="ER27" s="16">
        <v>45465.0</v>
      </c>
      <c r="ES27" s="15"/>
      <c r="ET27" s="15">
        <f t="shared" si="11"/>
        <v>3</v>
      </c>
      <c r="EU27" s="16">
        <f t="shared" si="12"/>
        <v>-45465</v>
      </c>
      <c r="EV27" s="16">
        <v>45468.0</v>
      </c>
      <c r="EW27" s="15">
        <f t="shared" si="13"/>
        <v>6</v>
      </c>
      <c r="EX27" s="15">
        <v>0.0</v>
      </c>
      <c r="EY27" s="15">
        <v>0.0</v>
      </c>
      <c r="EZ27" s="15">
        <v>0.0</v>
      </c>
      <c r="FA27" s="15">
        <v>1.0</v>
      </c>
      <c r="FB27" s="15" t="s">
        <v>236</v>
      </c>
      <c r="FC27" s="20">
        <v>45499.0</v>
      </c>
      <c r="FD27" s="15">
        <v>2.0</v>
      </c>
      <c r="FE27" s="16">
        <v>45498.0</v>
      </c>
      <c r="FF27" s="15">
        <f t="shared" si="14"/>
        <v>36</v>
      </c>
      <c r="FG27" s="15">
        <v>1.0</v>
      </c>
      <c r="FH27" s="15">
        <v>0.0</v>
      </c>
      <c r="FI27" s="15" t="s">
        <v>222</v>
      </c>
      <c r="FJ27" s="15" t="s">
        <v>222</v>
      </c>
      <c r="FK27" s="15">
        <f t="shared" si="15"/>
        <v>39</v>
      </c>
      <c r="FL27" s="15">
        <v>1.0</v>
      </c>
      <c r="FM27" s="15" t="s">
        <v>257</v>
      </c>
      <c r="FN27" s="16">
        <v>45473.0</v>
      </c>
      <c r="FO27" s="15">
        <f t="shared" si="26"/>
        <v>11</v>
      </c>
      <c r="FP27" s="15">
        <v>1.0</v>
      </c>
      <c r="FQ27" s="15" t="s">
        <v>365</v>
      </c>
      <c r="FR27" s="16">
        <v>45484.0</v>
      </c>
      <c r="FS27" s="15">
        <f t="shared" si="32"/>
        <v>22</v>
      </c>
      <c r="FT27" s="15">
        <v>0.0</v>
      </c>
      <c r="FU27" s="15">
        <v>2.5</v>
      </c>
      <c r="FV27" s="15">
        <v>1.0</v>
      </c>
      <c r="FW27" s="15">
        <v>0.0</v>
      </c>
      <c r="FX27" s="15" t="s">
        <v>556</v>
      </c>
      <c r="FY27" s="15">
        <v>16.0</v>
      </c>
      <c r="FZ27" s="15">
        <v>1.5</v>
      </c>
      <c r="GA27" s="15">
        <v>33.0</v>
      </c>
      <c r="GB27" s="15">
        <v>7.9</v>
      </c>
      <c r="GC27" s="15">
        <v>68.0</v>
      </c>
      <c r="GD27" s="15">
        <v>2.5</v>
      </c>
      <c r="GE27" s="15">
        <v>12.0</v>
      </c>
      <c r="GF27" s="15">
        <v>32.0</v>
      </c>
      <c r="GG27" s="15">
        <f t="shared" si="20"/>
        <v>0.5294117647</v>
      </c>
      <c r="GH27" s="15">
        <v>96.7</v>
      </c>
      <c r="GI27" s="15">
        <v>1.53</v>
      </c>
      <c r="GJ27" s="15" t="s">
        <v>222</v>
      </c>
      <c r="GK27" s="15" t="s">
        <v>222</v>
      </c>
      <c r="GL27" s="15" t="s">
        <v>222</v>
      </c>
      <c r="GM27" s="15">
        <v>32.0</v>
      </c>
      <c r="GN27" s="15">
        <v>1.7</v>
      </c>
      <c r="GO27" s="15">
        <v>16.7</v>
      </c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>
        <v>269.0</v>
      </c>
      <c r="HG27" s="15">
        <v>315.0</v>
      </c>
      <c r="HH27" s="15">
        <v>170.0</v>
      </c>
      <c r="HI27" s="15">
        <v>94.4</v>
      </c>
      <c r="HJ27" s="15">
        <v>55.0</v>
      </c>
      <c r="HK27" s="15" t="s">
        <v>301</v>
      </c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</row>
    <row r="28" ht="15.75" customHeight="1">
      <c r="A28" s="27" t="s">
        <v>218</v>
      </c>
      <c r="B28" s="15" t="s">
        <v>557</v>
      </c>
      <c r="C28" s="15">
        <v>2.0498968E7</v>
      </c>
      <c r="D28" s="16">
        <v>28022.0</v>
      </c>
      <c r="E28" s="16">
        <v>45469.0</v>
      </c>
      <c r="F28" s="16">
        <v>45483.0</v>
      </c>
      <c r="G28" s="16">
        <v>45469.0</v>
      </c>
      <c r="H28" s="15">
        <f t="shared" si="1"/>
        <v>47.8</v>
      </c>
      <c r="I28" s="15">
        <v>0.0</v>
      </c>
      <c r="J28" s="15">
        <f t="shared" si="2"/>
        <v>14</v>
      </c>
      <c r="K28" s="15">
        <v>0.0</v>
      </c>
      <c r="L28" s="15">
        <v>69.0</v>
      </c>
      <c r="M28" s="15">
        <v>1.73</v>
      </c>
      <c r="N28" s="17">
        <f t="shared" si="3"/>
        <v>23.05456246</v>
      </c>
      <c r="O28" s="15">
        <v>2.0</v>
      </c>
      <c r="P28" s="15" t="s">
        <v>558</v>
      </c>
      <c r="Q28" s="15">
        <v>0.0</v>
      </c>
      <c r="R28" s="15">
        <v>0.0</v>
      </c>
      <c r="S28" s="15" t="s">
        <v>404</v>
      </c>
      <c r="T28" s="15">
        <v>0.0</v>
      </c>
      <c r="U28" s="15">
        <v>0.0</v>
      </c>
      <c r="V28" s="15">
        <v>0.0</v>
      </c>
      <c r="W28" s="15">
        <v>1.0</v>
      </c>
      <c r="X28" s="18">
        <v>0.4166666666666667</v>
      </c>
      <c r="Y28" s="18">
        <v>0.59375</v>
      </c>
      <c r="Z28" s="19">
        <f t="shared" si="4"/>
        <v>0.1770833333</v>
      </c>
      <c r="AA28" s="18">
        <f t="shared" si="5"/>
        <v>255</v>
      </c>
      <c r="AB28" s="15">
        <v>2.0</v>
      </c>
      <c r="AC28" s="15">
        <v>0.0</v>
      </c>
      <c r="AD28" s="15" t="s">
        <v>222</v>
      </c>
      <c r="AE28" s="15" t="s">
        <v>222</v>
      </c>
      <c r="AF28" s="15">
        <v>1.0</v>
      </c>
      <c r="AG28" s="15" t="s">
        <v>538</v>
      </c>
      <c r="AH28" s="15" t="s">
        <v>222</v>
      </c>
      <c r="AI28" s="15">
        <v>0.0</v>
      </c>
      <c r="AJ28" s="15">
        <v>1.0</v>
      </c>
      <c r="AK28" s="15">
        <v>0.0</v>
      </c>
      <c r="AL28" s="15" t="s">
        <v>222</v>
      </c>
      <c r="AM28" s="15" t="s">
        <v>222</v>
      </c>
      <c r="AN28" s="15" t="s">
        <v>222</v>
      </c>
      <c r="AO28" s="15">
        <v>0.0</v>
      </c>
      <c r="AP28" s="15" t="s">
        <v>222</v>
      </c>
      <c r="AQ28" s="15" t="s">
        <v>222</v>
      </c>
      <c r="AR28" s="16" t="str">
        <f t="shared" si="38"/>
        <v>#VALUE!</v>
      </c>
      <c r="AS28" s="15">
        <v>0.0</v>
      </c>
      <c r="AT28" s="15" t="s">
        <v>222</v>
      </c>
      <c r="AU28" s="15" t="s">
        <v>222</v>
      </c>
      <c r="AV28" s="15" t="s">
        <v>222</v>
      </c>
      <c r="AW28" s="15" t="s">
        <v>559</v>
      </c>
      <c r="AX28" s="15" t="s">
        <v>225</v>
      </c>
      <c r="AY28" s="15">
        <v>0.0</v>
      </c>
      <c r="AZ28" s="15">
        <v>1.0</v>
      </c>
      <c r="BA28" s="15">
        <v>2.0</v>
      </c>
      <c r="BB28" s="15" t="s">
        <v>560</v>
      </c>
      <c r="BC28" s="15" t="s">
        <v>561</v>
      </c>
      <c r="BD28" s="15" t="s">
        <v>228</v>
      </c>
      <c r="BE28" s="15" t="s">
        <v>222</v>
      </c>
      <c r="BF28" s="15">
        <v>2.5</v>
      </c>
      <c r="BG28" s="15">
        <v>2.0</v>
      </c>
      <c r="BH28" s="15">
        <v>0.0</v>
      </c>
      <c r="BI28" s="15">
        <v>0.0</v>
      </c>
      <c r="BJ28" s="15" t="s">
        <v>222</v>
      </c>
      <c r="BK28" s="15">
        <v>2.0</v>
      </c>
      <c r="BL28" s="15">
        <v>0.0</v>
      </c>
      <c r="BM28" s="15" t="s">
        <v>222</v>
      </c>
      <c r="BN28" s="15">
        <v>1.0</v>
      </c>
      <c r="BO28" s="15">
        <v>6.0</v>
      </c>
      <c r="BP28" s="15" t="s">
        <v>222</v>
      </c>
      <c r="BQ28" s="15" t="s">
        <v>222</v>
      </c>
      <c r="BR28" s="15" t="s">
        <v>222</v>
      </c>
      <c r="BS28" s="15">
        <v>0.0</v>
      </c>
      <c r="BT28" s="15" t="s">
        <v>222</v>
      </c>
      <c r="BU28" s="15" t="s">
        <v>222</v>
      </c>
      <c r="BV28" s="15" t="s">
        <v>222</v>
      </c>
      <c r="BW28" s="15">
        <v>0.0</v>
      </c>
      <c r="BX28" s="15">
        <v>0.0</v>
      </c>
      <c r="BY28" s="15">
        <v>25.0</v>
      </c>
      <c r="BZ28" s="15">
        <f t="shared" si="6"/>
        <v>0</v>
      </c>
      <c r="CA28" s="15">
        <v>0.0</v>
      </c>
      <c r="CB28" s="15">
        <v>0.0</v>
      </c>
      <c r="CC28" s="15">
        <v>1.0</v>
      </c>
      <c r="CD28" s="15" t="s">
        <v>265</v>
      </c>
      <c r="CE28" s="15">
        <v>1.0</v>
      </c>
      <c r="CF28" s="15" t="s">
        <v>265</v>
      </c>
      <c r="CG28" s="15">
        <v>6.0</v>
      </c>
      <c r="CH28" s="15">
        <v>11.9</v>
      </c>
      <c r="CI28" s="15" t="s">
        <v>562</v>
      </c>
      <c r="CJ28" s="15" t="s">
        <v>563</v>
      </c>
      <c r="CK28" s="15" t="s">
        <v>564</v>
      </c>
      <c r="CL28" s="15" t="s">
        <v>234</v>
      </c>
      <c r="CM28" s="16">
        <v>45469.0</v>
      </c>
      <c r="CN28" s="15">
        <f t="shared" si="35"/>
        <v>0</v>
      </c>
      <c r="CO28" s="15">
        <v>11.3</v>
      </c>
      <c r="CP28" s="15">
        <v>300.0</v>
      </c>
      <c r="CQ28" s="15">
        <v>0.0</v>
      </c>
      <c r="CR28" s="15">
        <v>0.0</v>
      </c>
      <c r="CS28" s="15">
        <v>0.0</v>
      </c>
      <c r="CT28" s="15">
        <v>0.0</v>
      </c>
      <c r="CU28" s="15">
        <v>0.0</v>
      </c>
      <c r="CV28" s="15" t="s">
        <v>252</v>
      </c>
      <c r="CW28" s="16">
        <v>45472.0</v>
      </c>
      <c r="CX28" s="15">
        <v>180.0</v>
      </c>
      <c r="CY28" s="15">
        <f t="shared" si="28"/>
        <v>0.095</v>
      </c>
      <c r="CZ28" s="15">
        <v>5.7</v>
      </c>
      <c r="DA28" s="15">
        <f t="shared" si="29"/>
        <v>0.15</v>
      </c>
      <c r="DB28" s="15">
        <v>9.0</v>
      </c>
      <c r="DC28" s="15">
        <v>0.0</v>
      </c>
      <c r="DD28" s="15">
        <v>0.0</v>
      </c>
      <c r="DE28" s="16">
        <v>45474.0</v>
      </c>
      <c r="DF28" s="15">
        <v>10.0</v>
      </c>
      <c r="DG28" s="15">
        <f t="shared" si="36"/>
        <v>0.09166666667</v>
      </c>
      <c r="DH28" s="15">
        <v>5.5</v>
      </c>
      <c r="DI28" s="15">
        <f t="shared" si="37"/>
        <v>0.1833333333</v>
      </c>
      <c r="DJ28" s="15">
        <v>11.0</v>
      </c>
      <c r="DK28" s="15">
        <v>0.0</v>
      </c>
      <c r="DL28" s="15">
        <v>0.0</v>
      </c>
      <c r="DM28" s="15">
        <v>0.0</v>
      </c>
      <c r="DN28" s="15">
        <v>0.0</v>
      </c>
      <c r="DO28" s="15">
        <v>0.0</v>
      </c>
      <c r="DP28" s="15">
        <v>0.0</v>
      </c>
      <c r="DQ28" s="15">
        <v>0.0</v>
      </c>
      <c r="DR28" s="15">
        <v>0.0</v>
      </c>
      <c r="DS28" s="15" t="s">
        <v>222</v>
      </c>
      <c r="DT28" s="15">
        <v>0.0</v>
      </c>
      <c r="DU28" s="15" t="s">
        <v>222</v>
      </c>
      <c r="DV28" s="15">
        <v>0.0</v>
      </c>
      <c r="DW28" s="15" t="s">
        <v>222</v>
      </c>
      <c r="DX28" s="15">
        <v>0.0</v>
      </c>
      <c r="DY28" s="15" t="s">
        <v>222</v>
      </c>
      <c r="DZ28" s="15">
        <v>0.0</v>
      </c>
      <c r="EA28" s="15">
        <v>0.0</v>
      </c>
      <c r="EB28" s="15">
        <v>0.0</v>
      </c>
      <c r="EC28" s="15">
        <v>0.0</v>
      </c>
      <c r="ED28" s="15">
        <v>0.0</v>
      </c>
      <c r="EE28" s="15" t="s">
        <v>222</v>
      </c>
      <c r="EF28" s="15" t="s">
        <v>222</v>
      </c>
      <c r="EG28" s="15">
        <v>0.0</v>
      </c>
      <c r="EH28" s="15" t="s">
        <v>222</v>
      </c>
      <c r="EI28" s="15">
        <v>0.0</v>
      </c>
      <c r="EJ28" s="15" t="s">
        <v>222</v>
      </c>
      <c r="EK28" s="15" t="s">
        <v>222</v>
      </c>
      <c r="EL28" s="15" t="s">
        <v>222</v>
      </c>
      <c r="EM28" s="15" t="s">
        <v>222</v>
      </c>
      <c r="EN28" s="15">
        <v>0.0</v>
      </c>
      <c r="EO28" s="15" t="s">
        <v>222</v>
      </c>
      <c r="EP28" s="15" t="s">
        <v>222</v>
      </c>
      <c r="EQ28" s="15" t="s">
        <v>222</v>
      </c>
      <c r="ER28" s="16">
        <v>45473.0</v>
      </c>
      <c r="ES28" s="15"/>
      <c r="ET28" s="15">
        <f t="shared" si="11"/>
        <v>4</v>
      </c>
      <c r="EU28" s="16">
        <f t="shared" si="12"/>
        <v>-45473</v>
      </c>
      <c r="EV28" s="16">
        <v>45477.0</v>
      </c>
      <c r="EW28" s="15">
        <f t="shared" si="13"/>
        <v>8</v>
      </c>
      <c r="EX28" s="15">
        <v>1.0</v>
      </c>
      <c r="EY28" s="15">
        <v>0.0</v>
      </c>
      <c r="EZ28" s="15">
        <v>0.0</v>
      </c>
      <c r="FA28" s="15">
        <v>1.0</v>
      </c>
      <c r="FB28" s="15" t="s">
        <v>236</v>
      </c>
      <c r="FC28" s="20">
        <v>45622.0</v>
      </c>
      <c r="FD28" s="15" t="s">
        <v>222</v>
      </c>
      <c r="FE28" s="15" t="s">
        <v>222</v>
      </c>
      <c r="FF28" s="16" t="str">
        <f t="shared" si="14"/>
        <v>#VALUE!</v>
      </c>
      <c r="FG28" s="15" t="s">
        <v>222</v>
      </c>
      <c r="FH28" s="15">
        <v>0.0</v>
      </c>
      <c r="FI28" s="15" t="s">
        <v>222</v>
      </c>
      <c r="FJ28" s="15" t="s">
        <v>222</v>
      </c>
      <c r="FK28" s="15">
        <f t="shared" si="15"/>
        <v>153</v>
      </c>
      <c r="FL28" s="15">
        <v>0.0</v>
      </c>
      <c r="FM28" s="15" t="s">
        <v>222</v>
      </c>
      <c r="FN28" s="15" t="s">
        <v>222</v>
      </c>
      <c r="FO28" s="15" t="s">
        <v>222</v>
      </c>
      <c r="FP28" s="15">
        <v>1.0</v>
      </c>
      <c r="FQ28" s="15" t="s">
        <v>565</v>
      </c>
      <c r="FR28" s="16">
        <v>45482.0</v>
      </c>
      <c r="FS28" s="15">
        <f t="shared" si="32"/>
        <v>13</v>
      </c>
      <c r="FT28" s="15">
        <v>0.0</v>
      </c>
      <c r="FU28" s="15">
        <v>4.0</v>
      </c>
      <c r="FV28" s="15">
        <v>2.0</v>
      </c>
      <c r="FW28" s="15">
        <v>0.0</v>
      </c>
      <c r="FX28" s="15" t="s">
        <v>300</v>
      </c>
      <c r="FY28" s="15">
        <v>18.0</v>
      </c>
      <c r="FZ28" s="15">
        <v>0.9</v>
      </c>
      <c r="GA28" s="15">
        <v>39.7</v>
      </c>
      <c r="GB28" s="15">
        <v>5.1</v>
      </c>
      <c r="GC28" s="15">
        <v>43.0</v>
      </c>
      <c r="GD28" s="15">
        <v>4.0</v>
      </c>
      <c r="GE28" s="15">
        <v>9.0</v>
      </c>
      <c r="GF28" s="15"/>
      <c r="GG28" s="15">
        <f t="shared" si="20"/>
        <v>1</v>
      </c>
      <c r="GH28" s="15">
        <v>66.4</v>
      </c>
      <c r="GI28" s="15">
        <v>1.15</v>
      </c>
      <c r="GJ28" s="15">
        <v>5.4</v>
      </c>
      <c r="GK28" s="15">
        <v>45.6</v>
      </c>
      <c r="GL28" s="15">
        <v>2.0</v>
      </c>
      <c r="GM28" s="15"/>
      <c r="GN28" s="15"/>
      <c r="GO28" s="15"/>
      <c r="GP28" s="16">
        <v>45510.0</v>
      </c>
      <c r="GQ28" s="15">
        <v>63.6</v>
      </c>
      <c r="GR28" s="15">
        <v>1.15</v>
      </c>
      <c r="GS28" s="15">
        <v>5.4</v>
      </c>
      <c r="GT28" s="15">
        <v>45.6</v>
      </c>
      <c r="GU28" s="15">
        <v>2.0</v>
      </c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>
        <v>79.7</v>
      </c>
      <c r="HG28" s="15">
        <v>88.9</v>
      </c>
      <c r="HH28" s="15">
        <v>41.0</v>
      </c>
      <c r="HI28" s="15">
        <v>37.1</v>
      </c>
      <c r="HJ28" s="15">
        <v>19.2</v>
      </c>
      <c r="HK28" s="15" t="s">
        <v>301</v>
      </c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</row>
    <row r="29" ht="15.75" customHeight="1">
      <c r="A29" s="27" t="s">
        <v>218</v>
      </c>
      <c r="B29" s="15" t="s">
        <v>566</v>
      </c>
      <c r="C29" s="15">
        <v>1.4755363E7</v>
      </c>
      <c r="D29" s="16">
        <v>25126.0</v>
      </c>
      <c r="E29" s="16">
        <v>45473.0</v>
      </c>
      <c r="F29" s="16">
        <v>45497.0</v>
      </c>
      <c r="G29" s="16">
        <v>45474.0</v>
      </c>
      <c r="H29" s="15">
        <f t="shared" si="1"/>
        <v>55.74794521</v>
      </c>
      <c r="I29" s="15">
        <v>0.0</v>
      </c>
      <c r="J29" s="15">
        <f t="shared" si="2"/>
        <v>24</v>
      </c>
      <c r="K29" s="15">
        <v>1.0</v>
      </c>
      <c r="L29" s="15">
        <v>45.0</v>
      </c>
      <c r="M29" s="15">
        <v>1.6</v>
      </c>
      <c r="N29" s="17">
        <f t="shared" si="3"/>
        <v>17.578125</v>
      </c>
      <c r="O29" s="15">
        <v>3.0</v>
      </c>
      <c r="P29" s="15" t="s">
        <v>567</v>
      </c>
      <c r="Q29" s="15">
        <v>1.0</v>
      </c>
      <c r="R29" s="15">
        <v>0.0</v>
      </c>
      <c r="S29" s="15" t="s">
        <v>568</v>
      </c>
      <c r="T29" s="15">
        <v>0.0</v>
      </c>
      <c r="U29" s="15">
        <v>1.0</v>
      </c>
      <c r="V29" s="15">
        <v>0.0</v>
      </c>
      <c r="W29" s="15">
        <v>1.0</v>
      </c>
      <c r="X29" s="18">
        <v>0.40277777777777773</v>
      </c>
      <c r="Y29" s="18">
        <v>0.6527777777777778</v>
      </c>
      <c r="Z29" s="19">
        <f t="shared" si="4"/>
        <v>0.25</v>
      </c>
      <c r="AA29" s="18">
        <f t="shared" si="5"/>
        <v>360</v>
      </c>
      <c r="AB29" s="15">
        <v>2.0</v>
      </c>
      <c r="AC29" s="15">
        <v>0.0</v>
      </c>
      <c r="AD29" s="15" t="s">
        <v>222</v>
      </c>
      <c r="AE29" s="15" t="s">
        <v>222</v>
      </c>
      <c r="AF29" s="15" t="s">
        <v>569</v>
      </c>
      <c r="AG29" s="15" t="s">
        <v>265</v>
      </c>
      <c r="AH29" s="15" t="s">
        <v>570</v>
      </c>
      <c r="AI29" s="15">
        <v>0.0</v>
      </c>
      <c r="AJ29" s="15">
        <v>1.0</v>
      </c>
      <c r="AK29" s="15">
        <v>1.0</v>
      </c>
      <c r="AL29" s="15">
        <v>0.0</v>
      </c>
      <c r="AM29" s="15">
        <v>1.0</v>
      </c>
      <c r="AN29" s="15">
        <v>0.0</v>
      </c>
      <c r="AO29" s="15">
        <v>0.0</v>
      </c>
      <c r="AP29" s="15" t="s">
        <v>222</v>
      </c>
      <c r="AQ29" s="15" t="s">
        <v>222</v>
      </c>
      <c r="AR29" s="16" t="str">
        <f t="shared" si="38"/>
        <v>#VALUE!</v>
      </c>
      <c r="AS29" s="15">
        <v>0.0</v>
      </c>
      <c r="AT29" s="15" t="s">
        <v>222</v>
      </c>
      <c r="AU29" s="15" t="s">
        <v>222</v>
      </c>
      <c r="AV29" s="15" t="s">
        <v>222</v>
      </c>
      <c r="AW29" s="15"/>
      <c r="AX29" s="15" t="s">
        <v>225</v>
      </c>
      <c r="AY29" s="15">
        <v>0.0</v>
      </c>
      <c r="AZ29" s="15">
        <v>1.0</v>
      </c>
      <c r="BA29" s="15">
        <v>2.0</v>
      </c>
      <c r="BB29" s="15" t="s">
        <v>571</v>
      </c>
      <c r="BC29" s="15" t="s">
        <v>572</v>
      </c>
      <c r="BD29" s="15" t="s">
        <v>228</v>
      </c>
      <c r="BE29" s="15">
        <v>2.0</v>
      </c>
      <c r="BF29" s="15">
        <v>3.5</v>
      </c>
      <c r="BG29" s="15">
        <v>2.0</v>
      </c>
      <c r="BH29" s="15">
        <v>0.0</v>
      </c>
      <c r="BI29" s="15">
        <v>0.0</v>
      </c>
      <c r="BJ29" s="15" t="s">
        <v>222</v>
      </c>
      <c r="BK29" s="15">
        <v>2.0</v>
      </c>
      <c r="BL29" s="15">
        <v>1.0</v>
      </c>
      <c r="BM29" s="15" t="s">
        <v>573</v>
      </c>
      <c r="BN29" s="15">
        <v>1.0</v>
      </c>
      <c r="BO29" s="15">
        <v>4.0</v>
      </c>
      <c r="BP29" s="15" t="s">
        <v>222</v>
      </c>
      <c r="BQ29" s="15" t="s">
        <v>222</v>
      </c>
      <c r="BR29" s="15" t="s">
        <v>222</v>
      </c>
      <c r="BS29" s="15">
        <v>0.0</v>
      </c>
      <c r="BT29" s="15" t="s">
        <v>222</v>
      </c>
      <c r="BU29" s="15" t="s">
        <v>222</v>
      </c>
      <c r="BV29" s="15" t="s">
        <v>222</v>
      </c>
      <c r="BW29" s="15">
        <v>0.0</v>
      </c>
      <c r="BX29" s="15">
        <v>0.0</v>
      </c>
      <c r="BY29" s="15">
        <v>25.0</v>
      </c>
      <c r="BZ29" s="15">
        <f t="shared" si="6"/>
        <v>0</v>
      </c>
      <c r="CA29" s="15">
        <v>0.0</v>
      </c>
      <c r="CB29" s="15">
        <v>1.0</v>
      </c>
      <c r="CC29" s="15">
        <v>1.0</v>
      </c>
      <c r="CD29" s="15" t="s">
        <v>265</v>
      </c>
      <c r="CE29" s="15">
        <v>1.0</v>
      </c>
      <c r="CF29" s="15" t="s">
        <v>265</v>
      </c>
      <c r="CG29" s="15">
        <v>3.0</v>
      </c>
      <c r="CH29" s="15">
        <v>11.9</v>
      </c>
      <c r="CI29" s="15" t="s">
        <v>574</v>
      </c>
      <c r="CJ29" s="15" t="s">
        <v>575</v>
      </c>
      <c r="CK29" s="15" t="s">
        <v>576</v>
      </c>
      <c r="CL29" s="15" t="s">
        <v>424</v>
      </c>
      <c r="CM29" s="16">
        <v>45474.0</v>
      </c>
      <c r="CN29" s="15">
        <f t="shared" si="35"/>
        <v>0</v>
      </c>
      <c r="CO29" s="15">
        <v>9.7</v>
      </c>
      <c r="CP29" s="15">
        <v>800.0</v>
      </c>
      <c r="CQ29" s="15">
        <v>4.0</v>
      </c>
      <c r="CR29" s="15">
        <v>1.0</v>
      </c>
      <c r="CS29" s="15">
        <v>0.0</v>
      </c>
      <c r="CT29" s="15">
        <v>1.0</v>
      </c>
      <c r="CU29" s="15">
        <v>2.0</v>
      </c>
      <c r="CV29" s="15" t="s">
        <v>577</v>
      </c>
      <c r="CW29" s="16">
        <v>45477.0</v>
      </c>
      <c r="CX29" s="15" t="s">
        <v>222</v>
      </c>
      <c r="CY29" s="15">
        <f t="shared" si="28"/>
        <v>0.6716666667</v>
      </c>
      <c r="CZ29" s="15">
        <v>40.3</v>
      </c>
      <c r="DA29" s="15">
        <f t="shared" si="29"/>
        <v>2.1</v>
      </c>
      <c r="DB29" s="15">
        <v>126.0</v>
      </c>
      <c r="DC29" s="15">
        <v>0.0</v>
      </c>
      <c r="DD29" s="15">
        <v>0.0</v>
      </c>
      <c r="DE29" s="16">
        <v>45479.0</v>
      </c>
      <c r="DF29" s="15">
        <v>900.0</v>
      </c>
      <c r="DG29" s="15">
        <f t="shared" si="36"/>
        <v>0.1866666667</v>
      </c>
      <c r="DH29" s="15">
        <v>11.2</v>
      </c>
      <c r="DI29" s="15">
        <f t="shared" si="37"/>
        <v>0.4333333333</v>
      </c>
      <c r="DJ29" s="15">
        <v>26.0</v>
      </c>
      <c r="DK29" s="15">
        <v>0.0</v>
      </c>
      <c r="DL29" s="15">
        <v>1.0</v>
      </c>
      <c r="DM29" s="15">
        <v>1.0</v>
      </c>
      <c r="DN29" s="15">
        <v>0.0</v>
      </c>
      <c r="DO29" s="15">
        <v>0.0</v>
      </c>
      <c r="DP29" s="15">
        <v>0.0</v>
      </c>
      <c r="DQ29" s="15">
        <v>0.0</v>
      </c>
      <c r="DR29" s="15">
        <v>1.0</v>
      </c>
      <c r="DS29" s="15" t="s">
        <v>578</v>
      </c>
      <c r="DT29" s="15">
        <v>0.0</v>
      </c>
      <c r="DU29" s="15" t="s">
        <v>222</v>
      </c>
      <c r="DV29" s="15">
        <v>0.0</v>
      </c>
      <c r="DW29" s="15" t="s">
        <v>222</v>
      </c>
      <c r="DX29" s="15">
        <v>1.0</v>
      </c>
      <c r="DY29" s="15" t="s">
        <v>579</v>
      </c>
      <c r="DZ29" s="15">
        <v>0.0</v>
      </c>
      <c r="EA29" s="15">
        <v>0.0</v>
      </c>
      <c r="EB29" s="15">
        <v>1.0</v>
      </c>
      <c r="EC29" s="15">
        <v>0.0</v>
      </c>
      <c r="ED29" s="15">
        <v>0.0</v>
      </c>
      <c r="EE29" s="15" t="s">
        <v>390</v>
      </c>
      <c r="EF29" s="16">
        <v>45485.0</v>
      </c>
      <c r="EG29" s="15">
        <v>0.0</v>
      </c>
      <c r="EH29" s="15">
        <f>EF29-G29</f>
        <v>11</v>
      </c>
      <c r="EI29" s="15">
        <v>0.0</v>
      </c>
      <c r="EJ29" s="15" t="s">
        <v>222</v>
      </c>
      <c r="EK29" s="15" t="s">
        <v>222</v>
      </c>
      <c r="EL29" s="15" t="s">
        <v>222</v>
      </c>
      <c r="EM29" s="15" t="s">
        <v>222</v>
      </c>
      <c r="EN29" s="15">
        <v>0.0</v>
      </c>
      <c r="EO29" s="15" t="s">
        <v>222</v>
      </c>
      <c r="EP29" s="15" t="s">
        <v>222</v>
      </c>
      <c r="EQ29" s="15" t="s">
        <v>222</v>
      </c>
      <c r="ER29" s="16">
        <v>45477.0</v>
      </c>
      <c r="ES29" s="15"/>
      <c r="ET29" s="15">
        <f t="shared" si="11"/>
        <v>3</v>
      </c>
      <c r="EU29" s="16">
        <f t="shared" si="12"/>
        <v>-45477</v>
      </c>
      <c r="EV29" s="16">
        <v>45480.0</v>
      </c>
      <c r="EW29" s="15">
        <f t="shared" si="13"/>
        <v>6</v>
      </c>
      <c r="EX29" s="15">
        <v>0.0</v>
      </c>
      <c r="EY29" s="15">
        <v>0.0</v>
      </c>
      <c r="EZ29" s="15">
        <v>0.0</v>
      </c>
      <c r="FA29" s="15">
        <v>1.0</v>
      </c>
      <c r="FB29" s="15"/>
      <c r="FC29" s="20">
        <v>45565.0</v>
      </c>
      <c r="FD29" s="15" t="s">
        <v>222</v>
      </c>
      <c r="FE29" s="15" t="s">
        <v>222</v>
      </c>
      <c r="FF29" s="16" t="str">
        <f t="shared" si="14"/>
        <v>#VALUE!</v>
      </c>
      <c r="FG29" s="15" t="s">
        <v>222</v>
      </c>
      <c r="FH29" s="15">
        <v>0.0</v>
      </c>
      <c r="FI29" s="15" t="s">
        <v>222</v>
      </c>
      <c r="FJ29" s="15" t="s">
        <v>222</v>
      </c>
      <c r="FK29" s="15">
        <f t="shared" si="15"/>
        <v>92</v>
      </c>
      <c r="FL29" s="15">
        <v>1.0</v>
      </c>
      <c r="FM29" s="15" t="s">
        <v>257</v>
      </c>
      <c r="FN29" s="16">
        <v>45476.0</v>
      </c>
      <c r="FO29" s="15">
        <f t="shared" ref="FO29:FO33" si="39">FN29-G29</f>
        <v>2</v>
      </c>
      <c r="FP29" s="15">
        <v>1.0</v>
      </c>
      <c r="FQ29" s="15" t="s">
        <v>365</v>
      </c>
      <c r="FR29" s="16">
        <v>45480.0</v>
      </c>
      <c r="FS29" s="15">
        <f t="shared" si="32"/>
        <v>6</v>
      </c>
      <c r="FT29" s="15">
        <v>0.0</v>
      </c>
      <c r="FU29" s="15">
        <v>7.4</v>
      </c>
      <c r="FV29" s="15">
        <v>2.0</v>
      </c>
      <c r="FW29" s="15">
        <v>0.0</v>
      </c>
      <c r="FX29" s="15" t="s">
        <v>580</v>
      </c>
      <c r="FY29" s="15">
        <v>14.0</v>
      </c>
      <c r="FZ29" s="15">
        <v>1.35</v>
      </c>
      <c r="GA29" s="15">
        <v>42.0</v>
      </c>
      <c r="GB29" s="15" t="s">
        <v>222</v>
      </c>
      <c r="GC29" s="15">
        <v>62.0</v>
      </c>
      <c r="GD29" s="15">
        <v>7.4</v>
      </c>
      <c r="GE29" s="15">
        <v>12.2</v>
      </c>
      <c r="GF29" s="15">
        <v>15.0</v>
      </c>
      <c r="GG29" s="15">
        <f t="shared" si="20"/>
        <v>0.7580645161</v>
      </c>
      <c r="GH29" s="15"/>
      <c r="GI29" s="15">
        <v>1.03</v>
      </c>
      <c r="GJ29" s="15">
        <v>6.3</v>
      </c>
      <c r="GK29" s="15">
        <v>37.0</v>
      </c>
      <c r="GL29" s="15">
        <v>0.4</v>
      </c>
      <c r="GM29" s="15">
        <v>15.0</v>
      </c>
      <c r="GN29" s="15">
        <v>1.6</v>
      </c>
      <c r="GO29" s="15">
        <v>15.0</v>
      </c>
      <c r="GP29" s="16">
        <v>45565.0</v>
      </c>
      <c r="GQ29" s="15">
        <v>39.1</v>
      </c>
      <c r="GR29" s="15">
        <v>1.03</v>
      </c>
      <c r="GS29" s="15">
        <v>6.3</v>
      </c>
      <c r="GT29" s="15">
        <v>37.0</v>
      </c>
      <c r="GU29" s="15">
        <v>0.4</v>
      </c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>
        <v>37.0</v>
      </c>
      <c r="HG29" s="15">
        <v>24.8</v>
      </c>
      <c r="HH29" s="15">
        <v>10.4</v>
      </c>
      <c r="HI29" s="15">
        <v>9.0</v>
      </c>
      <c r="HJ29" s="15">
        <v>9.3</v>
      </c>
      <c r="HK29" s="15" t="s">
        <v>581</v>
      </c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</row>
    <row r="30" ht="15.75" customHeight="1">
      <c r="A30" s="27" t="s">
        <v>218</v>
      </c>
      <c r="B30" s="15" t="s">
        <v>582</v>
      </c>
      <c r="C30" s="15">
        <v>2.9378808E7</v>
      </c>
      <c r="D30" s="16">
        <v>20721.0</v>
      </c>
      <c r="E30" s="16">
        <v>45522.0</v>
      </c>
      <c r="F30" s="16">
        <v>45535.0</v>
      </c>
      <c r="G30" s="16">
        <v>45523.0</v>
      </c>
      <c r="H30" s="15">
        <f t="shared" si="1"/>
        <v>67.95068493</v>
      </c>
      <c r="I30" s="15">
        <v>0.0</v>
      </c>
      <c r="J30" s="15">
        <f t="shared" si="2"/>
        <v>13</v>
      </c>
      <c r="K30" s="15">
        <v>0.0</v>
      </c>
      <c r="L30" s="15">
        <v>84.0</v>
      </c>
      <c r="M30" s="15">
        <v>1.87</v>
      </c>
      <c r="N30" s="17">
        <f t="shared" si="3"/>
        <v>24.02127599</v>
      </c>
      <c r="O30" s="15">
        <v>1.0</v>
      </c>
      <c r="P30" s="15" t="s">
        <v>583</v>
      </c>
      <c r="Q30" s="15">
        <v>0.0</v>
      </c>
      <c r="R30" s="15">
        <v>0.0</v>
      </c>
      <c r="S30" s="15" t="s">
        <v>584</v>
      </c>
      <c r="T30" s="15">
        <v>0.0</v>
      </c>
      <c r="U30" s="15">
        <v>0.0</v>
      </c>
      <c r="V30" s="15">
        <v>0.0</v>
      </c>
      <c r="W30" s="15">
        <v>0.0</v>
      </c>
      <c r="X30" s="18">
        <v>0.4215277777777778</v>
      </c>
      <c r="Y30" s="18">
        <v>0.7125</v>
      </c>
      <c r="Z30" s="19">
        <f t="shared" si="4"/>
        <v>0.2909722222</v>
      </c>
      <c r="AA30" s="18">
        <f t="shared" si="5"/>
        <v>419</v>
      </c>
      <c r="AB30" s="15">
        <v>2.0</v>
      </c>
      <c r="AC30" s="15">
        <v>0.0</v>
      </c>
      <c r="AD30" s="15" t="s">
        <v>222</v>
      </c>
      <c r="AE30" s="15" t="s">
        <v>222</v>
      </c>
      <c r="AF30" s="15" t="s">
        <v>585</v>
      </c>
      <c r="AG30" s="15" t="s">
        <v>586</v>
      </c>
      <c r="AH30" s="15" t="s">
        <v>587</v>
      </c>
      <c r="AI30" s="15">
        <v>0.0</v>
      </c>
      <c r="AJ30" s="15">
        <v>1.0</v>
      </c>
      <c r="AK30" s="15">
        <v>1.0</v>
      </c>
      <c r="AL30" s="15">
        <v>0.0</v>
      </c>
      <c r="AM30" s="15">
        <v>1.0</v>
      </c>
      <c r="AN30" s="15">
        <v>0.0</v>
      </c>
      <c r="AO30" s="15">
        <v>0.0</v>
      </c>
      <c r="AP30" s="15" t="s">
        <v>222</v>
      </c>
      <c r="AQ30" s="15" t="s">
        <v>222</v>
      </c>
      <c r="AR30" s="15" t="s">
        <v>222</v>
      </c>
      <c r="AS30" s="15">
        <v>0.0</v>
      </c>
      <c r="AT30" s="15" t="s">
        <v>222</v>
      </c>
      <c r="AU30" s="15" t="s">
        <v>222</v>
      </c>
      <c r="AV30" s="15" t="s">
        <v>222</v>
      </c>
      <c r="AW30" s="15" t="s">
        <v>295</v>
      </c>
      <c r="AX30" s="15" t="s">
        <v>225</v>
      </c>
      <c r="AY30" s="15">
        <v>0.0</v>
      </c>
      <c r="AZ30" s="15">
        <v>1.0</v>
      </c>
      <c r="BA30" s="15">
        <v>2.0</v>
      </c>
      <c r="BB30" s="15" t="s">
        <v>588</v>
      </c>
      <c r="BC30" s="15" t="s">
        <v>589</v>
      </c>
      <c r="BD30" s="15" t="s">
        <v>228</v>
      </c>
      <c r="BE30" s="15" t="s">
        <v>222</v>
      </c>
      <c r="BF30" s="15">
        <v>2.0</v>
      </c>
      <c r="BG30" s="15" t="s">
        <v>249</v>
      </c>
      <c r="BH30" s="15">
        <v>0.0</v>
      </c>
      <c r="BI30" s="15">
        <v>0.0</v>
      </c>
      <c r="BJ30" s="15" t="s">
        <v>222</v>
      </c>
      <c r="BK30" s="15" t="s">
        <v>376</v>
      </c>
      <c r="BL30" s="15">
        <v>0.0</v>
      </c>
      <c r="BM30" s="15" t="s">
        <v>222</v>
      </c>
      <c r="BN30" s="15">
        <v>1.0</v>
      </c>
      <c r="BO30" s="15">
        <v>3.0</v>
      </c>
      <c r="BP30" s="15" t="s">
        <v>222</v>
      </c>
      <c r="BQ30" s="15" t="s">
        <v>222</v>
      </c>
      <c r="BR30" s="15" t="s">
        <v>222</v>
      </c>
      <c r="BS30" s="15">
        <v>1.0</v>
      </c>
      <c r="BT30" s="15">
        <v>0.0</v>
      </c>
      <c r="BU30" s="15">
        <v>1.0</v>
      </c>
      <c r="BV30" s="15">
        <v>0.0</v>
      </c>
      <c r="BW30" s="15">
        <v>0.0</v>
      </c>
      <c r="BX30" s="15">
        <v>0.0</v>
      </c>
      <c r="BY30" s="15">
        <v>33.0</v>
      </c>
      <c r="BZ30" s="15">
        <f t="shared" si="6"/>
        <v>0</v>
      </c>
      <c r="CA30" s="15">
        <v>0.0</v>
      </c>
      <c r="CB30" s="15">
        <v>1.0</v>
      </c>
      <c r="CC30" s="15">
        <v>1.0</v>
      </c>
      <c r="CD30" s="15" t="s">
        <v>224</v>
      </c>
      <c r="CE30" s="15">
        <v>1.0</v>
      </c>
      <c r="CF30" s="15" t="s">
        <v>590</v>
      </c>
      <c r="CG30" s="15">
        <v>10.0</v>
      </c>
      <c r="CH30" s="15">
        <v>13.3</v>
      </c>
      <c r="CI30" s="15" t="s">
        <v>591</v>
      </c>
      <c r="CJ30" s="15" t="s">
        <v>592</v>
      </c>
      <c r="CK30" s="15" t="s">
        <v>593</v>
      </c>
      <c r="CL30" s="15" t="s">
        <v>234</v>
      </c>
      <c r="CM30" s="16">
        <v>45524.0</v>
      </c>
      <c r="CN30" s="15">
        <f t="shared" si="35"/>
        <v>1</v>
      </c>
      <c r="CO30" s="15">
        <v>11.9</v>
      </c>
      <c r="CP30" s="15">
        <v>350.0</v>
      </c>
      <c r="CQ30" s="15">
        <v>0.0</v>
      </c>
      <c r="CR30" s="15">
        <v>0.0</v>
      </c>
      <c r="CS30" s="15">
        <v>0.0</v>
      </c>
      <c r="CT30" s="15">
        <v>0.0</v>
      </c>
      <c r="CU30" s="15">
        <v>0.0</v>
      </c>
      <c r="CV30" s="15" t="s">
        <v>309</v>
      </c>
      <c r="CW30" s="16">
        <v>45526.0</v>
      </c>
      <c r="CX30" s="15">
        <v>150.0</v>
      </c>
      <c r="CY30" s="15">
        <f t="shared" si="28"/>
        <v>7.016666667</v>
      </c>
      <c r="CZ30" s="15">
        <v>421.0</v>
      </c>
      <c r="DA30" s="15">
        <f t="shared" si="29"/>
        <v>6.066666667</v>
      </c>
      <c r="DB30" s="15">
        <v>364.0</v>
      </c>
      <c r="DC30" s="15">
        <v>0.0</v>
      </c>
      <c r="DD30" s="15">
        <v>0.0</v>
      </c>
      <c r="DE30" s="16">
        <v>45528.0</v>
      </c>
      <c r="DF30" s="15">
        <v>150.0</v>
      </c>
      <c r="DG30" s="15">
        <f t="shared" si="36"/>
        <v>1.638333333</v>
      </c>
      <c r="DH30" s="15">
        <v>98.3</v>
      </c>
      <c r="DI30" s="15">
        <f t="shared" si="37"/>
        <v>1.016666667</v>
      </c>
      <c r="DJ30" s="15">
        <v>61.0</v>
      </c>
      <c r="DK30" s="15">
        <v>0.0</v>
      </c>
      <c r="DL30" s="15">
        <v>0.0</v>
      </c>
      <c r="DM30" s="15">
        <v>0.0</v>
      </c>
      <c r="DN30" s="15">
        <v>0.0</v>
      </c>
      <c r="DO30" s="15">
        <v>0.0</v>
      </c>
      <c r="DP30" s="15">
        <v>0.0</v>
      </c>
      <c r="DQ30" s="15">
        <v>0.0</v>
      </c>
      <c r="DR30" s="15">
        <v>0.0</v>
      </c>
      <c r="DS30" s="15" t="s">
        <v>222</v>
      </c>
      <c r="DT30" s="15">
        <v>0.0</v>
      </c>
      <c r="DU30" s="15" t="s">
        <v>222</v>
      </c>
      <c r="DV30" s="15">
        <v>0.0</v>
      </c>
      <c r="DW30" s="15" t="s">
        <v>222</v>
      </c>
      <c r="DX30" s="15">
        <v>0.0</v>
      </c>
      <c r="DY30" s="15" t="s">
        <v>222</v>
      </c>
      <c r="DZ30" s="15">
        <v>0.0</v>
      </c>
      <c r="EA30" s="15">
        <v>0.0</v>
      </c>
      <c r="EB30" s="15">
        <v>0.0</v>
      </c>
      <c r="EC30" s="15">
        <v>0.0</v>
      </c>
      <c r="ED30" s="15">
        <v>0.0</v>
      </c>
      <c r="EE30" s="15" t="s">
        <v>222</v>
      </c>
      <c r="EF30" s="15" t="s">
        <v>222</v>
      </c>
      <c r="EG30" s="15">
        <v>0.0</v>
      </c>
      <c r="EH30" s="15" t="s">
        <v>222</v>
      </c>
      <c r="EI30" s="15">
        <v>1.0</v>
      </c>
      <c r="EJ30" s="16">
        <v>45526.0</v>
      </c>
      <c r="EK30" s="16">
        <v>45529.0</v>
      </c>
      <c r="EL30" s="15">
        <f t="shared" ref="EL30:EL31" si="40">EK30-EJ30</f>
        <v>3</v>
      </c>
      <c r="EM30" s="15">
        <v>1.0</v>
      </c>
      <c r="EN30" s="15">
        <v>0.0</v>
      </c>
      <c r="EO30" s="15" t="s">
        <v>222</v>
      </c>
      <c r="EP30" s="15" t="s">
        <v>222</v>
      </c>
      <c r="EQ30" s="15" t="s">
        <v>222</v>
      </c>
      <c r="ER30" s="16">
        <v>45526.0</v>
      </c>
      <c r="ES30" s="16">
        <v>45570.0</v>
      </c>
      <c r="ET30" s="15">
        <f t="shared" si="11"/>
        <v>3</v>
      </c>
      <c r="EU30" s="15">
        <f t="shared" si="12"/>
        <v>44</v>
      </c>
      <c r="EV30" s="16">
        <v>45531.0</v>
      </c>
      <c r="EW30" s="15">
        <f t="shared" si="13"/>
        <v>8</v>
      </c>
      <c r="EX30" s="15">
        <v>2.0</v>
      </c>
      <c r="EY30" s="15">
        <v>0.0</v>
      </c>
      <c r="EZ30" s="15">
        <v>0.0</v>
      </c>
      <c r="FA30" s="15">
        <v>0.0</v>
      </c>
      <c r="FB30" s="15" t="s">
        <v>222</v>
      </c>
      <c r="FC30" s="20">
        <v>45596.0</v>
      </c>
      <c r="FD30" s="15" t="s">
        <v>222</v>
      </c>
      <c r="FE30" s="15" t="s">
        <v>222</v>
      </c>
      <c r="FF30" s="15" t="s">
        <v>222</v>
      </c>
      <c r="FG30" s="15" t="s">
        <v>222</v>
      </c>
      <c r="FH30" s="15">
        <v>0.0</v>
      </c>
      <c r="FI30" s="15" t="s">
        <v>222</v>
      </c>
      <c r="FJ30" s="15" t="s">
        <v>222</v>
      </c>
      <c r="FK30" s="15">
        <f t="shared" si="15"/>
        <v>74</v>
      </c>
      <c r="FL30" s="15">
        <v>1.0</v>
      </c>
      <c r="FM30" s="15" t="s">
        <v>257</v>
      </c>
      <c r="FN30" s="16">
        <v>45524.0</v>
      </c>
      <c r="FO30" s="15">
        <f t="shared" si="39"/>
        <v>1</v>
      </c>
      <c r="FP30" s="15">
        <v>1.0</v>
      </c>
      <c r="FQ30" s="15" t="s">
        <v>365</v>
      </c>
      <c r="FR30" s="16">
        <v>45524.0</v>
      </c>
      <c r="FS30" s="15">
        <f t="shared" si="32"/>
        <v>1</v>
      </c>
      <c r="FT30" s="15">
        <v>0.0</v>
      </c>
      <c r="FU30" s="15">
        <v>9.2</v>
      </c>
      <c r="FV30" s="15">
        <v>2.0</v>
      </c>
      <c r="FW30" s="15">
        <v>0.0</v>
      </c>
      <c r="FX30" s="15" t="s">
        <v>594</v>
      </c>
      <c r="FY30" s="15">
        <v>19.0</v>
      </c>
      <c r="FZ30" s="15">
        <v>1.05</v>
      </c>
      <c r="GA30" s="15">
        <v>44.1</v>
      </c>
      <c r="GB30" s="15">
        <v>5.7</v>
      </c>
      <c r="GC30" s="15">
        <v>41.0</v>
      </c>
      <c r="GD30" s="15">
        <v>9.2</v>
      </c>
      <c r="GE30" s="15">
        <v>14.1</v>
      </c>
      <c r="GF30" s="15">
        <v>8.9</v>
      </c>
      <c r="GG30" s="15">
        <f t="shared" si="20"/>
        <v>0.7829268293</v>
      </c>
      <c r="GH30" s="15">
        <v>79.0</v>
      </c>
      <c r="GI30" s="15">
        <v>1.85</v>
      </c>
      <c r="GJ30" s="15">
        <v>6.9</v>
      </c>
      <c r="GK30" s="15">
        <v>43.0</v>
      </c>
      <c r="GL30" s="15"/>
      <c r="GM30" s="15">
        <v>8.9</v>
      </c>
      <c r="GN30" s="15">
        <v>1.8</v>
      </c>
      <c r="GO30" s="15">
        <v>16.7</v>
      </c>
      <c r="GP30" s="16">
        <v>45576.0</v>
      </c>
      <c r="GQ30" s="15">
        <v>79.0</v>
      </c>
      <c r="GR30" s="15">
        <v>1.85</v>
      </c>
      <c r="GS30" s="15">
        <v>6.9</v>
      </c>
      <c r="GT30" s="15">
        <v>43.0</v>
      </c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>
        <v>66.8</v>
      </c>
      <c r="HG30" s="15">
        <v>94.4</v>
      </c>
      <c r="HH30" s="15">
        <v>58.6</v>
      </c>
      <c r="HI30" s="15">
        <v>25.2</v>
      </c>
      <c r="HJ30" s="15">
        <v>15.0</v>
      </c>
      <c r="HK30" s="15" t="s">
        <v>581</v>
      </c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</row>
    <row r="31" ht="15.75" customHeight="1">
      <c r="A31" s="27" t="s">
        <v>218</v>
      </c>
      <c r="B31" s="15" t="s">
        <v>595</v>
      </c>
      <c r="C31" s="15">
        <v>2.3595166E7</v>
      </c>
      <c r="D31" s="16">
        <v>20710.0</v>
      </c>
      <c r="E31" s="16">
        <v>45578.0</v>
      </c>
      <c r="F31" s="16">
        <v>45601.0</v>
      </c>
      <c r="G31" s="16">
        <v>45579.0</v>
      </c>
      <c r="H31" s="15">
        <f t="shared" si="1"/>
        <v>68.13424658</v>
      </c>
      <c r="I31" s="15">
        <v>0.0</v>
      </c>
      <c r="J31" s="15">
        <f t="shared" si="2"/>
        <v>23</v>
      </c>
      <c r="K31" s="15">
        <v>0.0</v>
      </c>
      <c r="L31" s="15">
        <v>71.9</v>
      </c>
      <c r="M31" s="15">
        <v>1.76</v>
      </c>
      <c r="N31" s="17">
        <f t="shared" si="3"/>
        <v>23.2115186</v>
      </c>
      <c r="O31" s="15">
        <v>2.0</v>
      </c>
      <c r="P31" s="15" t="s">
        <v>596</v>
      </c>
      <c r="Q31" s="15">
        <v>1.0</v>
      </c>
      <c r="R31" s="15">
        <v>1.0</v>
      </c>
      <c r="S31" s="15" t="s">
        <v>597</v>
      </c>
      <c r="T31" s="15">
        <v>1.0</v>
      </c>
      <c r="U31" s="15">
        <v>0.0</v>
      </c>
      <c r="V31" s="15">
        <v>0.0</v>
      </c>
      <c r="W31" s="15">
        <v>1.0</v>
      </c>
      <c r="X31" s="18">
        <v>0.5381944444444444</v>
      </c>
      <c r="Y31" s="18">
        <v>0.7618055555555556</v>
      </c>
      <c r="Z31" s="19">
        <f t="shared" si="4"/>
        <v>0.2236111111</v>
      </c>
      <c r="AA31" s="18">
        <f t="shared" si="5"/>
        <v>322</v>
      </c>
      <c r="AB31" s="15">
        <v>2.0</v>
      </c>
      <c r="AC31" s="15">
        <v>0.0</v>
      </c>
      <c r="AD31" s="15" t="s">
        <v>222</v>
      </c>
      <c r="AE31" s="15" t="s">
        <v>222</v>
      </c>
      <c r="AF31" s="15" t="s">
        <v>598</v>
      </c>
      <c r="AG31" s="15" t="s">
        <v>224</v>
      </c>
      <c r="AH31" s="15" t="s">
        <v>222</v>
      </c>
      <c r="AI31" s="15">
        <v>0.0</v>
      </c>
      <c r="AJ31" s="15">
        <v>1.0</v>
      </c>
      <c r="AK31" s="15">
        <v>1.0</v>
      </c>
      <c r="AL31" s="15">
        <v>0.0</v>
      </c>
      <c r="AM31" s="15">
        <v>1.0</v>
      </c>
      <c r="AN31" s="15">
        <v>2.0</v>
      </c>
      <c r="AO31" s="15">
        <v>0.0</v>
      </c>
      <c r="AP31" s="15" t="s">
        <v>222</v>
      </c>
      <c r="AQ31" s="15" t="s">
        <v>222</v>
      </c>
      <c r="AR31" s="15" t="s">
        <v>222</v>
      </c>
      <c r="AS31" s="15">
        <v>0.0</v>
      </c>
      <c r="AT31" s="15" t="s">
        <v>222</v>
      </c>
      <c r="AU31" s="15" t="s">
        <v>222</v>
      </c>
      <c r="AV31" s="15" t="s">
        <v>222</v>
      </c>
      <c r="AW31" s="15" t="s">
        <v>228</v>
      </c>
      <c r="AX31" s="15" t="s">
        <v>225</v>
      </c>
      <c r="AY31" s="15">
        <v>0.0</v>
      </c>
      <c r="AZ31" s="15">
        <v>1.0</v>
      </c>
      <c r="BA31" s="15">
        <v>2.0</v>
      </c>
      <c r="BB31" s="15" t="s">
        <v>599</v>
      </c>
      <c r="BC31" s="15" t="s">
        <v>600</v>
      </c>
      <c r="BD31" s="15" t="s">
        <v>228</v>
      </c>
      <c r="BE31" s="15" t="s">
        <v>222</v>
      </c>
      <c r="BF31" s="15">
        <v>2.5</v>
      </c>
      <c r="BG31" s="15">
        <v>2.0</v>
      </c>
      <c r="BH31" s="15">
        <v>1.0</v>
      </c>
      <c r="BI31" s="15">
        <v>0.0</v>
      </c>
      <c r="BJ31" s="15" t="s">
        <v>222</v>
      </c>
      <c r="BK31" s="15" t="s">
        <v>229</v>
      </c>
      <c r="BL31" s="15">
        <v>1.0</v>
      </c>
      <c r="BM31" s="15" t="s">
        <v>601</v>
      </c>
      <c r="BN31" s="15">
        <v>1.0</v>
      </c>
      <c r="BO31" s="15">
        <v>5.0</v>
      </c>
      <c r="BP31" s="15" t="s">
        <v>222</v>
      </c>
      <c r="BQ31" s="15" t="s">
        <v>222</v>
      </c>
      <c r="BR31" s="15" t="s">
        <v>222</v>
      </c>
      <c r="BS31" s="15">
        <v>0.0</v>
      </c>
      <c r="BT31" s="15" t="s">
        <v>222</v>
      </c>
      <c r="BU31" s="15" t="s">
        <v>222</v>
      </c>
      <c r="BV31" s="15" t="s">
        <v>222</v>
      </c>
      <c r="BW31" s="15">
        <v>1.0</v>
      </c>
      <c r="BX31" s="15">
        <v>1.0</v>
      </c>
      <c r="BY31" s="15">
        <v>30.0</v>
      </c>
      <c r="BZ31" s="15">
        <f t="shared" si="6"/>
        <v>0.03333333333</v>
      </c>
      <c r="CA31" s="15">
        <v>1.0</v>
      </c>
      <c r="CB31" s="15">
        <v>1.0</v>
      </c>
      <c r="CC31" s="15">
        <v>1.0</v>
      </c>
      <c r="CD31" s="15" t="s">
        <v>228</v>
      </c>
      <c r="CE31" s="15">
        <v>1.0</v>
      </c>
      <c r="CF31" s="15" t="s">
        <v>228</v>
      </c>
      <c r="CG31" s="15">
        <v>5.2</v>
      </c>
      <c r="CH31" s="15">
        <v>12.9</v>
      </c>
      <c r="CI31" s="15" t="s">
        <v>602</v>
      </c>
      <c r="CJ31" s="15"/>
      <c r="CK31" s="15" t="s">
        <v>603</v>
      </c>
      <c r="CL31" s="15" t="s">
        <v>234</v>
      </c>
      <c r="CM31" s="16">
        <v>45581.0</v>
      </c>
      <c r="CN31" s="15">
        <f t="shared" si="35"/>
        <v>2</v>
      </c>
      <c r="CO31" s="15">
        <v>12.3</v>
      </c>
      <c r="CP31" s="15">
        <v>1500.0</v>
      </c>
      <c r="CQ31" s="15">
        <v>0.0</v>
      </c>
      <c r="CR31" s="15">
        <v>1.0</v>
      </c>
      <c r="CS31" s="15">
        <v>2.0</v>
      </c>
      <c r="CT31" s="15">
        <v>1.0</v>
      </c>
      <c r="CU31" s="15">
        <v>2.0</v>
      </c>
      <c r="CV31" s="15" t="s">
        <v>604</v>
      </c>
      <c r="CW31" s="16">
        <v>45582.0</v>
      </c>
      <c r="CX31" s="15">
        <v>200.0</v>
      </c>
      <c r="CY31" s="15">
        <f t="shared" si="28"/>
        <v>0.1616666667</v>
      </c>
      <c r="CZ31" s="15">
        <v>9.7</v>
      </c>
      <c r="DA31" s="15">
        <f t="shared" si="29"/>
        <v>0.1666666667</v>
      </c>
      <c r="DB31" s="15">
        <v>10.0</v>
      </c>
      <c r="DC31" s="15">
        <v>0.0</v>
      </c>
      <c r="DD31" s="15">
        <v>0.0</v>
      </c>
      <c r="DE31" s="16">
        <v>45584.0</v>
      </c>
      <c r="DF31" s="15">
        <v>150.0</v>
      </c>
      <c r="DG31" s="15">
        <f t="shared" si="36"/>
        <v>0.09333333333</v>
      </c>
      <c r="DH31" s="15">
        <v>5.6</v>
      </c>
      <c r="DI31" s="15" t="s">
        <v>222</v>
      </c>
      <c r="DJ31" s="15" t="s">
        <v>222</v>
      </c>
      <c r="DK31" s="15">
        <v>0.0</v>
      </c>
      <c r="DL31" s="15">
        <v>0.0</v>
      </c>
      <c r="DM31" s="15">
        <v>1.0</v>
      </c>
      <c r="DN31" s="15">
        <v>0.0</v>
      </c>
      <c r="DO31" s="15">
        <v>0.0</v>
      </c>
      <c r="DP31" s="15">
        <v>0.0</v>
      </c>
      <c r="DQ31" s="15">
        <v>1.0</v>
      </c>
      <c r="DR31" s="15">
        <v>1.0</v>
      </c>
      <c r="DS31" s="15" t="s">
        <v>605</v>
      </c>
      <c r="DT31" s="15">
        <v>0.0</v>
      </c>
      <c r="DU31" s="15" t="s">
        <v>222</v>
      </c>
      <c r="DV31" s="15">
        <v>0.0</v>
      </c>
      <c r="DW31" s="15" t="s">
        <v>222</v>
      </c>
      <c r="DX31" s="15">
        <v>1.0</v>
      </c>
      <c r="DY31" s="15" t="s">
        <v>606</v>
      </c>
      <c r="DZ31" s="15">
        <v>0.0</v>
      </c>
      <c r="EA31" s="15">
        <v>0.0</v>
      </c>
      <c r="EB31" s="15">
        <v>0.0</v>
      </c>
      <c r="EC31" s="15">
        <v>1.0</v>
      </c>
      <c r="ED31" s="15">
        <v>0.0</v>
      </c>
      <c r="EE31" s="15" t="s">
        <v>222</v>
      </c>
      <c r="EF31" s="15" t="s">
        <v>222</v>
      </c>
      <c r="EG31" s="15">
        <v>0.0</v>
      </c>
      <c r="EH31" s="15" t="s">
        <v>222</v>
      </c>
      <c r="EI31" s="15">
        <v>1.0</v>
      </c>
      <c r="EJ31" s="16">
        <v>45586.0</v>
      </c>
      <c r="EK31" s="16">
        <v>45594.0</v>
      </c>
      <c r="EL31" s="15">
        <f t="shared" si="40"/>
        <v>8</v>
      </c>
      <c r="EM31" s="15">
        <v>1.0</v>
      </c>
      <c r="EN31" s="15">
        <v>0.0</v>
      </c>
      <c r="EO31" s="15" t="s">
        <v>222</v>
      </c>
      <c r="EP31" s="15" t="s">
        <v>222</v>
      </c>
      <c r="EQ31" s="15" t="s">
        <v>222</v>
      </c>
      <c r="ER31" s="16">
        <v>45583.0</v>
      </c>
      <c r="ES31" s="16">
        <v>45602.0</v>
      </c>
      <c r="ET31" s="15">
        <f t="shared" si="11"/>
        <v>4</v>
      </c>
      <c r="EU31" s="15">
        <f t="shared" si="12"/>
        <v>19</v>
      </c>
      <c r="EV31" s="16">
        <v>45595.0</v>
      </c>
      <c r="EW31" s="15">
        <f t="shared" si="13"/>
        <v>16</v>
      </c>
      <c r="EX31" s="15">
        <v>3.0</v>
      </c>
      <c r="EY31" s="15">
        <v>0.0</v>
      </c>
      <c r="EZ31" s="15">
        <v>0.0</v>
      </c>
      <c r="FA31" s="15">
        <v>1.0</v>
      </c>
      <c r="FB31" s="15" t="s">
        <v>236</v>
      </c>
      <c r="FC31" s="20">
        <v>45616.0</v>
      </c>
      <c r="FD31" s="15" t="s">
        <v>222</v>
      </c>
      <c r="FE31" s="15" t="s">
        <v>222</v>
      </c>
      <c r="FF31" s="15" t="s">
        <v>222</v>
      </c>
      <c r="FG31" s="15" t="s">
        <v>222</v>
      </c>
      <c r="FH31" s="15">
        <v>0.0</v>
      </c>
      <c r="FI31" s="15" t="s">
        <v>222</v>
      </c>
      <c r="FJ31" s="15" t="s">
        <v>222</v>
      </c>
      <c r="FK31" s="15">
        <f t="shared" si="15"/>
        <v>38</v>
      </c>
      <c r="FL31" s="15">
        <v>1.0</v>
      </c>
      <c r="FM31" s="15" t="s">
        <v>257</v>
      </c>
      <c r="FN31" s="16">
        <v>45584.0</v>
      </c>
      <c r="FO31" s="15">
        <f t="shared" si="39"/>
        <v>5</v>
      </c>
      <c r="FP31" s="15">
        <v>1.0</v>
      </c>
      <c r="FQ31" s="15" t="s">
        <v>365</v>
      </c>
      <c r="FR31" s="16">
        <v>45597.0</v>
      </c>
      <c r="FS31" s="15">
        <f t="shared" si="32"/>
        <v>18</v>
      </c>
      <c r="FT31" s="15">
        <v>0.0</v>
      </c>
      <c r="FU31" s="15">
        <v>9.0</v>
      </c>
      <c r="FV31" s="15">
        <v>2.0</v>
      </c>
      <c r="FW31" s="15">
        <v>0.0</v>
      </c>
      <c r="FX31" s="15" t="s">
        <v>607</v>
      </c>
      <c r="FY31" s="15">
        <v>22.5</v>
      </c>
      <c r="FZ31" s="15" t="s">
        <v>222</v>
      </c>
      <c r="GA31" s="15">
        <v>40.1</v>
      </c>
      <c r="GB31" s="15">
        <v>7.3</v>
      </c>
      <c r="GC31" s="15">
        <v>74.8</v>
      </c>
      <c r="GD31" s="15">
        <v>9.0</v>
      </c>
      <c r="GE31" s="15">
        <v>16.7</v>
      </c>
      <c r="GF31" s="15">
        <v>19.6</v>
      </c>
      <c r="GG31" s="15">
        <f t="shared" si="20"/>
        <v>0.7379679144</v>
      </c>
      <c r="GH31" s="15">
        <v>69.0</v>
      </c>
      <c r="GI31" s="15"/>
      <c r="GJ31" s="15"/>
      <c r="GK31" s="15"/>
      <c r="GL31" s="15"/>
      <c r="GM31" s="15">
        <v>19.6</v>
      </c>
      <c r="GN31" s="15">
        <v>3.6</v>
      </c>
      <c r="GO31" s="15">
        <v>16.4</v>
      </c>
      <c r="GP31" s="16">
        <v>45616.0</v>
      </c>
      <c r="GQ31" s="15">
        <v>69.0</v>
      </c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>
        <v>44.3</v>
      </c>
      <c r="HG31" s="15">
        <v>163.0</v>
      </c>
      <c r="HH31" s="15">
        <v>155.0</v>
      </c>
      <c r="HI31" s="15">
        <v>145.0</v>
      </c>
      <c r="HJ31" s="15">
        <v>127.0</v>
      </c>
      <c r="HK31" s="15" t="s">
        <v>581</v>
      </c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</row>
    <row r="32" ht="15.75" customHeight="1">
      <c r="A32" s="27" t="s">
        <v>218</v>
      </c>
      <c r="B32" s="15" t="s">
        <v>608</v>
      </c>
      <c r="C32" s="15">
        <v>1.5794371E7</v>
      </c>
      <c r="D32" s="16">
        <v>18571.0</v>
      </c>
      <c r="E32" s="16">
        <v>45587.0</v>
      </c>
      <c r="F32" s="16">
        <v>45618.0</v>
      </c>
      <c r="G32" s="16">
        <v>45587.0</v>
      </c>
      <c r="H32" s="15">
        <f t="shared" si="1"/>
        <v>74.01643836</v>
      </c>
      <c r="I32" s="15">
        <v>1.0</v>
      </c>
      <c r="J32" s="15">
        <f t="shared" si="2"/>
        <v>31</v>
      </c>
      <c r="K32" s="15">
        <v>0.0</v>
      </c>
      <c r="L32" s="15">
        <v>78.0</v>
      </c>
      <c r="M32" s="15">
        <v>1.64</v>
      </c>
      <c r="N32" s="17">
        <f t="shared" si="3"/>
        <v>29.00059488</v>
      </c>
      <c r="O32" s="15">
        <v>2.0</v>
      </c>
      <c r="P32" s="15" t="s">
        <v>609</v>
      </c>
      <c r="Q32" s="15">
        <v>0.0</v>
      </c>
      <c r="R32" s="15">
        <v>1.0</v>
      </c>
      <c r="S32" s="15" t="s">
        <v>610</v>
      </c>
      <c r="T32" s="15">
        <v>0.0</v>
      </c>
      <c r="U32" s="15">
        <v>0.0</v>
      </c>
      <c r="V32" s="15">
        <v>0.0</v>
      </c>
      <c r="W32" s="15">
        <v>1.0</v>
      </c>
      <c r="X32" s="18">
        <v>0.5208333333333334</v>
      </c>
      <c r="Y32" s="18">
        <v>0.7361111111111112</v>
      </c>
      <c r="Z32" s="19">
        <f t="shared" si="4"/>
        <v>0.2152777778</v>
      </c>
      <c r="AA32" s="18">
        <f t="shared" si="5"/>
        <v>310</v>
      </c>
      <c r="AB32" s="15">
        <v>2.0</v>
      </c>
      <c r="AC32" s="15">
        <v>0.0</v>
      </c>
      <c r="AD32" s="15" t="s">
        <v>222</v>
      </c>
      <c r="AE32" s="15" t="s">
        <v>222</v>
      </c>
      <c r="AF32" s="15" t="s">
        <v>611</v>
      </c>
      <c r="AG32" s="15" t="s">
        <v>612</v>
      </c>
      <c r="AH32" s="15" t="s">
        <v>613</v>
      </c>
      <c r="AI32" s="15">
        <v>0.0</v>
      </c>
      <c r="AJ32" s="15">
        <v>1.0</v>
      </c>
      <c r="AK32" s="15">
        <v>1.0</v>
      </c>
      <c r="AL32" s="15">
        <v>0.0</v>
      </c>
      <c r="AM32" s="15">
        <v>1.0</v>
      </c>
      <c r="AN32" s="15" t="s">
        <v>222</v>
      </c>
      <c r="AO32" s="15">
        <v>0.0</v>
      </c>
      <c r="AP32" s="15" t="s">
        <v>222</v>
      </c>
      <c r="AQ32" s="15" t="s">
        <v>222</v>
      </c>
      <c r="AR32" s="15" t="s">
        <v>222</v>
      </c>
      <c r="AS32" s="15">
        <v>0.0</v>
      </c>
      <c r="AT32" s="15" t="s">
        <v>222</v>
      </c>
      <c r="AU32" s="15" t="s">
        <v>222</v>
      </c>
      <c r="AV32" s="15" t="s">
        <v>222</v>
      </c>
      <c r="AW32" s="15" t="s">
        <v>228</v>
      </c>
      <c r="AX32" s="15" t="s">
        <v>225</v>
      </c>
      <c r="AY32" s="15">
        <v>0.0</v>
      </c>
      <c r="AZ32" s="15">
        <v>1.0</v>
      </c>
      <c r="BA32" s="15">
        <v>2.0</v>
      </c>
      <c r="BB32" s="15" t="s">
        <v>614</v>
      </c>
      <c r="BC32" s="15" t="s">
        <v>615</v>
      </c>
      <c r="BD32" s="15" t="s">
        <v>616</v>
      </c>
      <c r="BE32" s="15">
        <v>2.0</v>
      </c>
      <c r="BF32" s="15">
        <v>3.5</v>
      </c>
      <c r="BG32" s="15">
        <v>2.0</v>
      </c>
      <c r="BH32" s="15">
        <v>1.0</v>
      </c>
      <c r="BI32" s="15">
        <v>1.0</v>
      </c>
      <c r="BJ32" s="15">
        <v>2.0</v>
      </c>
      <c r="BK32" s="15">
        <v>4.0</v>
      </c>
      <c r="BL32" s="15">
        <v>0.0</v>
      </c>
      <c r="BM32" s="15" t="s">
        <v>222</v>
      </c>
      <c r="BN32" s="15">
        <v>0.0</v>
      </c>
      <c r="BO32" s="15">
        <v>0.0</v>
      </c>
      <c r="BP32" s="15" t="s">
        <v>222</v>
      </c>
      <c r="BQ32" s="15" t="s">
        <v>222</v>
      </c>
      <c r="BR32" s="15" t="s">
        <v>222</v>
      </c>
      <c r="BS32" s="15">
        <v>0.0</v>
      </c>
      <c r="BT32" s="15" t="s">
        <v>222</v>
      </c>
      <c r="BU32" s="15" t="s">
        <v>222</v>
      </c>
      <c r="BV32" s="15" t="s">
        <v>222</v>
      </c>
      <c r="BW32" s="15">
        <v>1.0</v>
      </c>
      <c r="BX32" s="15">
        <v>3.0</v>
      </c>
      <c r="BY32" s="15">
        <v>24.0</v>
      </c>
      <c r="BZ32" s="15">
        <f t="shared" si="6"/>
        <v>0.125</v>
      </c>
      <c r="CA32" s="15">
        <v>1.0</v>
      </c>
      <c r="CB32" s="15">
        <v>1.0</v>
      </c>
      <c r="CC32" s="15">
        <v>1.0</v>
      </c>
      <c r="CD32" s="15" t="s">
        <v>228</v>
      </c>
      <c r="CE32" s="15">
        <v>1.0</v>
      </c>
      <c r="CF32" s="15" t="s">
        <v>228</v>
      </c>
      <c r="CG32" s="15">
        <v>11.0</v>
      </c>
      <c r="CH32" s="15">
        <v>14.0</v>
      </c>
      <c r="CI32" s="15" t="s">
        <v>617</v>
      </c>
      <c r="CJ32" s="15"/>
      <c r="CK32" s="15">
        <v>0.0</v>
      </c>
      <c r="CL32" s="15" t="s">
        <v>222</v>
      </c>
      <c r="CM32" s="15" t="s">
        <v>222</v>
      </c>
      <c r="CN32" s="15" t="s">
        <v>222</v>
      </c>
      <c r="CO32" s="15">
        <v>12.7</v>
      </c>
      <c r="CP32" s="15">
        <v>325.0</v>
      </c>
      <c r="CQ32" s="15">
        <v>0.0</v>
      </c>
      <c r="CR32" s="15">
        <v>0.0</v>
      </c>
      <c r="CS32" s="15">
        <v>0.0</v>
      </c>
      <c r="CT32" s="15">
        <v>0.0</v>
      </c>
      <c r="CU32" s="15">
        <v>0.0</v>
      </c>
      <c r="CV32" s="15" t="s">
        <v>618</v>
      </c>
      <c r="CW32" s="16">
        <v>45590.0</v>
      </c>
      <c r="CX32" s="15">
        <v>250.0</v>
      </c>
      <c r="CY32" s="15">
        <f t="shared" si="28"/>
        <v>58.35</v>
      </c>
      <c r="CZ32" s="15">
        <v>3501.0</v>
      </c>
      <c r="DA32" s="15">
        <f t="shared" si="29"/>
        <v>2.65</v>
      </c>
      <c r="DB32" s="15">
        <v>159.0</v>
      </c>
      <c r="DC32" s="15">
        <v>1.0</v>
      </c>
      <c r="DD32" s="15">
        <v>1.0</v>
      </c>
      <c r="DE32" s="16">
        <v>45592.0</v>
      </c>
      <c r="DF32" s="15">
        <v>400.0</v>
      </c>
      <c r="DG32" s="15">
        <f t="shared" si="36"/>
        <v>1.528333333</v>
      </c>
      <c r="DH32" s="15">
        <v>91.7</v>
      </c>
      <c r="DI32" s="15">
        <f t="shared" ref="DI32:DI37" si="41">DJ32/60</f>
        <v>0.7333333333</v>
      </c>
      <c r="DJ32" s="15">
        <v>44.0</v>
      </c>
      <c r="DK32" s="15">
        <v>0.0</v>
      </c>
      <c r="DL32" s="15">
        <v>1.0</v>
      </c>
      <c r="DM32" s="15">
        <v>1.0</v>
      </c>
      <c r="DN32" s="15">
        <v>0.0</v>
      </c>
      <c r="DO32" s="15">
        <v>1.0</v>
      </c>
      <c r="DP32" s="15">
        <v>1.0</v>
      </c>
      <c r="DQ32" s="15">
        <v>0.0</v>
      </c>
      <c r="DR32" s="15">
        <v>1.0</v>
      </c>
      <c r="DS32" s="15" t="s">
        <v>253</v>
      </c>
      <c r="DT32" s="15">
        <v>0.0</v>
      </c>
      <c r="DU32" s="15" t="s">
        <v>222</v>
      </c>
      <c r="DV32" s="15">
        <v>0.0</v>
      </c>
      <c r="DW32" s="15" t="s">
        <v>222</v>
      </c>
      <c r="DX32" s="15">
        <v>0.0</v>
      </c>
      <c r="DY32" s="15" t="s">
        <v>222</v>
      </c>
      <c r="DZ32" s="15">
        <v>0.0</v>
      </c>
      <c r="EA32" s="15">
        <v>0.0</v>
      </c>
      <c r="EB32" s="15">
        <v>0.0</v>
      </c>
      <c r="EC32" s="15">
        <v>0.0</v>
      </c>
      <c r="ED32" s="15">
        <v>0.0</v>
      </c>
      <c r="EE32" s="15" t="s">
        <v>390</v>
      </c>
      <c r="EF32" s="16">
        <v>45588.0</v>
      </c>
      <c r="EG32" s="15">
        <v>0.0</v>
      </c>
      <c r="EH32" s="15">
        <f t="shared" ref="EH32:EH36" si="42">EF32-G32</f>
        <v>1</v>
      </c>
      <c r="EI32" s="15">
        <v>0.0</v>
      </c>
      <c r="EJ32" s="15" t="s">
        <v>222</v>
      </c>
      <c r="EK32" s="15" t="s">
        <v>222</v>
      </c>
      <c r="EL32" s="15" t="s">
        <v>222</v>
      </c>
      <c r="EM32" s="15" t="s">
        <v>222</v>
      </c>
      <c r="EN32" s="15">
        <v>0.0</v>
      </c>
      <c r="EO32" s="15" t="s">
        <v>222</v>
      </c>
      <c r="EP32" s="15" t="s">
        <v>222</v>
      </c>
      <c r="EQ32" s="15" t="s">
        <v>222</v>
      </c>
      <c r="ER32" s="16">
        <v>45590.0</v>
      </c>
      <c r="ES32" s="15"/>
      <c r="ET32" s="15">
        <f t="shared" si="11"/>
        <v>3</v>
      </c>
      <c r="EU32" s="15" t="s">
        <v>222</v>
      </c>
      <c r="EV32" s="16">
        <v>45614.0</v>
      </c>
      <c r="EW32" s="15">
        <f t="shared" si="13"/>
        <v>27</v>
      </c>
      <c r="EX32" s="15">
        <v>3.0</v>
      </c>
      <c r="EY32" s="15">
        <v>0.0</v>
      </c>
      <c r="EZ32" s="15">
        <v>0.0</v>
      </c>
      <c r="FA32" s="15">
        <v>1.0</v>
      </c>
      <c r="FB32" s="15" t="s">
        <v>236</v>
      </c>
      <c r="FC32" s="20">
        <v>45617.0</v>
      </c>
      <c r="FD32" s="15" t="s">
        <v>222</v>
      </c>
      <c r="FE32" s="15" t="s">
        <v>222</v>
      </c>
      <c r="FF32" s="15" t="s">
        <v>222</v>
      </c>
      <c r="FG32" s="15" t="s">
        <v>222</v>
      </c>
      <c r="FH32" s="15">
        <v>0.0</v>
      </c>
      <c r="FI32" s="15" t="s">
        <v>222</v>
      </c>
      <c r="FJ32" s="15" t="s">
        <v>222</v>
      </c>
      <c r="FK32" s="15">
        <f t="shared" si="15"/>
        <v>30</v>
      </c>
      <c r="FL32" s="15">
        <v>1.0</v>
      </c>
      <c r="FM32" s="15" t="s">
        <v>257</v>
      </c>
      <c r="FN32" s="16">
        <v>45593.0</v>
      </c>
      <c r="FO32" s="15">
        <f t="shared" si="39"/>
        <v>6</v>
      </c>
      <c r="FP32" s="15">
        <v>1.0</v>
      </c>
      <c r="FQ32" s="15" t="s">
        <v>365</v>
      </c>
      <c r="FR32" s="16">
        <v>45593.0</v>
      </c>
      <c r="FS32" s="15">
        <f t="shared" si="32"/>
        <v>6</v>
      </c>
      <c r="FT32" s="15">
        <v>0.0</v>
      </c>
      <c r="FU32" s="15">
        <v>3.3</v>
      </c>
      <c r="FV32" s="15">
        <v>0.0</v>
      </c>
      <c r="FW32" s="15">
        <v>0.0</v>
      </c>
      <c r="FX32" s="15" t="s">
        <v>300</v>
      </c>
      <c r="FY32" s="15">
        <v>21.0</v>
      </c>
      <c r="FZ32" s="15">
        <v>1.26</v>
      </c>
      <c r="GA32" s="15">
        <v>36.4</v>
      </c>
      <c r="GB32" s="15">
        <v>5.8</v>
      </c>
      <c r="GC32" s="15">
        <v>87.0</v>
      </c>
      <c r="GD32" s="15">
        <v>3.3</v>
      </c>
      <c r="GE32" s="15">
        <v>18.0</v>
      </c>
      <c r="GF32" s="15">
        <v>50.4</v>
      </c>
      <c r="GG32" s="15">
        <f t="shared" si="20"/>
        <v>0.4206896552</v>
      </c>
      <c r="GH32" s="15"/>
      <c r="GI32" s="15"/>
      <c r="GJ32" s="15"/>
      <c r="GK32" s="15"/>
      <c r="GL32" s="15"/>
      <c r="GM32" s="15">
        <v>50.4</v>
      </c>
      <c r="GN32" s="15">
        <v>2.5</v>
      </c>
      <c r="GO32" s="15">
        <v>20.8</v>
      </c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>
        <v>62.1</v>
      </c>
      <c r="HG32" s="15">
        <v>217.0</v>
      </c>
      <c r="HH32" s="15">
        <v>335.0</v>
      </c>
      <c r="HI32" s="15">
        <v>317.0</v>
      </c>
      <c r="HJ32" s="15">
        <v>237.0</v>
      </c>
      <c r="HK32" s="15" t="s">
        <v>581</v>
      </c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</row>
    <row r="33" ht="15.75" customHeight="1">
      <c r="A33" s="27" t="s">
        <v>218</v>
      </c>
      <c r="B33" s="15" t="s">
        <v>619</v>
      </c>
      <c r="C33" s="15">
        <v>2.2849699E7</v>
      </c>
      <c r="D33" s="16">
        <v>21739.0</v>
      </c>
      <c r="E33" s="16">
        <v>45347.0</v>
      </c>
      <c r="F33" s="16">
        <v>45363.0</v>
      </c>
      <c r="G33" s="16">
        <v>45348.0</v>
      </c>
      <c r="H33" s="15">
        <f t="shared" si="1"/>
        <v>64.68219178</v>
      </c>
      <c r="I33" s="15">
        <v>0.0</v>
      </c>
      <c r="J33" s="15">
        <f t="shared" si="2"/>
        <v>16</v>
      </c>
      <c r="K33" s="15">
        <v>0.0</v>
      </c>
      <c r="L33" s="15">
        <v>100.0</v>
      </c>
      <c r="M33" s="15">
        <v>1.76</v>
      </c>
      <c r="N33" s="17">
        <f t="shared" si="3"/>
        <v>32.28305785</v>
      </c>
      <c r="O33" s="15">
        <v>2.0</v>
      </c>
      <c r="P33" s="15" t="s">
        <v>620</v>
      </c>
      <c r="Q33" s="15">
        <v>1.0</v>
      </c>
      <c r="R33" s="15">
        <v>1.0</v>
      </c>
      <c r="S33" s="15" t="s">
        <v>621</v>
      </c>
      <c r="T33" s="15">
        <v>0.0</v>
      </c>
      <c r="U33" s="15">
        <v>1.0</v>
      </c>
      <c r="V33" s="15">
        <v>0.0</v>
      </c>
      <c r="W33" s="15">
        <v>1.0</v>
      </c>
      <c r="X33" s="18">
        <v>0.41111111111111115</v>
      </c>
      <c r="Y33" s="18">
        <v>0.6277777777777778</v>
      </c>
      <c r="Z33" s="19">
        <f t="shared" si="4"/>
        <v>0.2166666667</v>
      </c>
      <c r="AA33" s="18">
        <f t="shared" si="5"/>
        <v>312</v>
      </c>
      <c r="AB33" s="15">
        <v>2.0</v>
      </c>
      <c r="AC33" s="15">
        <v>0.0</v>
      </c>
      <c r="AD33" s="15" t="s">
        <v>222</v>
      </c>
      <c r="AE33" s="15" t="s">
        <v>222</v>
      </c>
      <c r="AF33" s="15" t="s">
        <v>537</v>
      </c>
      <c r="AG33" s="15" t="s">
        <v>622</v>
      </c>
      <c r="AH33" s="15" t="s">
        <v>222</v>
      </c>
      <c r="AI33" s="15">
        <v>0.0</v>
      </c>
      <c r="AJ33" s="15">
        <v>1.0</v>
      </c>
      <c r="AK33" s="15">
        <v>0.0</v>
      </c>
      <c r="AL33" s="15" t="s">
        <v>222</v>
      </c>
      <c r="AM33" s="15" t="s">
        <v>222</v>
      </c>
      <c r="AN33" s="15" t="s">
        <v>222</v>
      </c>
      <c r="AO33" s="15">
        <v>0.0</v>
      </c>
      <c r="AP33" s="15" t="s">
        <v>222</v>
      </c>
      <c r="AQ33" s="15" t="s">
        <v>222</v>
      </c>
      <c r="AR33" s="15" t="s">
        <v>222</v>
      </c>
      <c r="AS33" s="15">
        <v>0.0</v>
      </c>
      <c r="AT33" s="15" t="s">
        <v>222</v>
      </c>
      <c r="AU33" s="15" t="s">
        <v>222</v>
      </c>
      <c r="AV33" s="15" t="s">
        <v>222</v>
      </c>
      <c r="AW33" s="15" t="s">
        <v>295</v>
      </c>
      <c r="AX33" s="15" t="s">
        <v>225</v>
      </c>
      <c r="AY33" s="15">
        <v>0.0</v>
      </c>
      <c r="AZ33" s="15">
        <v>1.0</v>
      </c>
      <c r="BA33" s="15">
        <v>3.0</v>
      </c>
      <c r="BB33" s="15" t="s">
        <v>623</v>
      </c>
      <c r="BC33" s="15" t="s">
        <v>222</v>
      </c>
      <c r="BD33" s="15" t="s">
        <v>228</v>
      </c>
      <c r="BE33" s="15" t="s">
        <v>624</v>
      </c>
      <c r="BF33" s="15">
        <v>1.9</v>
      </c>
      <c r="BG33" s="15" t="s">
        <v>249</v>
      </c>
      <c r="BH33" s="15">
        <v>2.0</v>
      </c>
      <c r="BI33" s="15">
        <v>0.0</v>
      </c>
      <c r="BJ33" s="15" t="s">
        <v>222</v>
      </c>
      <c r="BK33" s="15">
        <v>4.0</v>
      </c>
      <c r="BL33" s="15">
        <v>0.0</v>
      </c>
      <c r="BM33" s="15" t="s">
        <v>222</v>
      </c>
      <c r="BN33" s="15">
        <v>1.0</v>
      </c>
      <c r="BO33" s="15">
        <v>10.0</v>
      </c>
      <c r="BP33" s="15" t="s">
        <v>222</v>
      </c>
      <c r="BQ33" s="15" t="s">
        <v>222</v>
      </c>
      <c r="BR33" s="15" t="s">
        <v>222</v>
      </c>
      <c r="BS33" s="15">
        <v>0.0</v>
      </c>
      <c r="BT33" s="15" t="s">
        <v>222</v>
      </c>
      <c r="BU33" s="15" t="s">
        <v>222</v>
      </c>
      <c r="BV33" s="15" t="s">
        <v>222</v>
      </c>
      <c r="BW33" s="15">
        <v>1.0</v>
      </c>
      <c r="BX33" s="15">
        <v>7.0</v>
      </c>
      <c r="BY33" s="15">
        <v>38.0</v>
      </c>
      <c r="BZ33" s="15">
        <f t="shared" si="6"/>
        <v>0.1842105263</v>
      </c>
      <c r="CA33" s="15">
        <v>1.0</v>
      </c>
      <c r="CB33" s="15">
        <v>1.0</v>
      </c>
      <c r="CC33" s="15">
        <v>1.0</v>
      </c>
      <c r="CD33" s="15" t="s">
        <v>223</v>
      </c>
      <c r="CE33" s="15">
        <v>1.0</v>
      </c>
      <c r="CF33" s="15" t="s">
        <v>230</v>
      </c>
      <c r="CG33" s="15">
        <v>4.3</v>
      </c>
      <c r="CH33" s="15">
        <v>14.9</v>
      </c>
      <c r="CI33" s="15" t="s">
        <v>625</v>
      </c>
      <c r="CJ33" s="15"/>
      <c r="CK33" s="15" t="s">
        <v>626</v>
      </c>
      <c r="CL33" s="15" t="s">
        <v>424</v>
      </c>
      <c r="CM33" s="16">
        <v>45348.0</v>
      </c>
      <c r="CN33" s="15">
        <f>CM33-G33</f>
        <v>0</v>
      </c>
      <c r="CO33" s="15">
        <v>11.6</v>
      </c>
      <c r="CP33" s="15">
        <v>350.0</v>
      </c>
      <c r="CQ33" s="15">
        <v>3.0</v>
      </c>
      <c r="CR33" s="15">
        <v>0.0</v>
      </c>
      <c r="CS33" s="15">
        <v>0.0</v>
      </c>
      <c r="CT33" s="15">
        <v>0.0</v>
      </c>
      <c r="CU33" s="15">
        <v>0.0</v>
      </c>
      <c r="CV33" s="15" t="s">
        <v>285</v>
      </c>
      <c r="CW33" s="16">
        <v>45351.0</v>
      </c>
      <c r="CX33" s="15">
        <v>10.0</v>
      </c>
      <c r="CY33" s="15">
        <f t="shared" si="28"/>
        <v>33.46666667</v>
      </c>
      <c r="CZ33" s="15">
        <v>2008.0</v>
      </c>
      <c r="DA33" s="15">
        <f t="shared" si="29"/>
        <v>1.733333333</v>
      </c>
      <c r="DB33" s="15">
        <v>104.0</v>
      </c>
      <c r="DC33" s="15">
        <v>1.0</v>
      </c>
      <c r="DD33" s="15">
        <v>1.0</v>
      </c>
      <c r="DE33" s="16">
        <v>45353.0</v>
      </c>
      <c r="DF33" s="15">
        <v>200.0</v>
      </c>
      <c r="DG33" s="15">
        <f t="shared" si="36"/>
        <v>2.3</v>
      </c>
      <c r="DH33" s="15">
        <v>138.0</v>
      </c>
      <c r="DI33" s="15">
        <f t="shared" si="41"/>
        <v>1.003333333</v>
      </c>
      <c r="DJ33" s="15">
        <v>60.2</v>
      </c>
      <c r="DK33" s="15">
        <v>0.0</v>
      </c>
      <c r="DL33" s="15">
        <v>0.0</v>
      </c>
      <c r="DM33" s="15">
        <v>1.0</v>
      </c>
      <c r="DN33" s="15">
        <v>0.0</v>
      </c>
      <c r="DO33" s="15">
        <v>1.0</v>
      </c>
      <c r="DP33" s="15">
        <v>1.0</v>
      </c>
      <c r="DQ33" s="15">
        <v>1.0</v>
      </c>
      <c r="DR33" s="15">
        <v>0.0</v>
      </c>
      <c r="DS33" s="15" t="s">
        <v>222</v>
      </c>
      <c r="DT33" s="15">
        <v>0.0</v>
      </c>
      <c r="DU33" s="15" t="s">
        <v>222</v>
      </c>
      <c r="DV33" s="15">
        <v>0.0</v>
      </c>
      <c r="DW33" s="15" t="s">
        <v>222</v>
      </c>
      <c r="DX33" s="15">
        <v>0.0</v>
      </c>
      <c r="DY33" s="15" t="s">
        <v>222</v>
      </c>
      <c r="DZ33" s="15">
        <v>0.0</v>
      </c>
      <c r="EA33" s="15">
        <v>0.0</v>
      </c>
      <c r="EB33" s="15">
        <v>0.0</v>
      </c>
      <c r="EC33" s="15">
        <v>0.0</v>
      </c>
      <c r="ED33" s="15">
        <v>0.0</v>
      </c>
      <c r="EE33" s="15" t="s">
        <v>440</v>
      </c>
      <c r="EF33" s="16">
        <v>45351.0</v>
      </c>
      <c r="EG33" s="15">
        <v>0.0</v>
      </c>
      <c r="EH33" s="15">
        <f t="shared" si="42"/>
        <v>3</v>
      </c>
      <c r="EI33" s="15">
        <v>1.0</v>
      </c>
      <c r="EJ33" s="16">
        <v>45356.0</v>
      </c>
      <c r="EK33" s="16">
        <v>45359.0</v>
      </c>
      <c r="EL33" s="15">
        <f>EK33-EJ33</f>
        <v>3</v>
      </c>
      <c r="EM33" s="15">
        <v>1.0</v>
      </c>
      <c r="EN33" s="15">
        <v>0.0</v>
      </c>
      <c r="EO33" s="15" t="s">
        <v>222</v>
      </c>
      <c r="EP33" s="15" t="s">
        <v>222</v>
      </c>
      <c r="EQ33" s="15" t="s">
        <v>222</v>
      </c>
      <c r="ER33" s="16">
        <v>45351.0</v>
      </c>
      <c r="ES33" s="16">
        <v>45407.0</v>
      </c>
      <c r="ET33" s="15">
        <f t="shared" si="11"/>
        <v>3</v>
      </c>
      <c r="EU33" s="15">
        <f t="shared" ref="EU33:EU37" si="43">ES33-ER33</f>
        <v>56</v>
      </c>
      <c r="EV33" s="16">
        <v>45356.0</v>
      </c>
      <c r="EW33" s="15">
        <f t="shared" si="13"/>
        <v>8</v>
      </c>
      <c r="EX33" s="15">
        <v>1.0</v>
      </c>
      <c r="EY33" s="15">
        <v>0.0</v>
      </c>
      <c r="EZ33" s="15">
        <v>0.0</v>
      </c>
      <c r="FA33" s="15"/>
      <c r="FB33" s="15"/>
      <c r="FC33" s="20">
        <v>45394.0</v>
      </c>
      <c r="FD33" s="15" t="s">
        <v>222</v>
      </c>
      <c r="FE33" s="15" t="s">
        <v>222</v>
      </c>
      <c r="FF33" s="16" t="str">
        <f>FE33-G33</f>
        <v>#VALUE!</v>
      </c>
      <c r="FG33" s="15" t="s">
        <v>222</v>
      </c>
      <c r="FH33" s="15">
        <v>0.0</v>
      </c>
      <c r="FI33" s="15" t="s">
        <v>222</v>
      </c>
      <c r="FJ33" s="15" t="s">
        <v>222</v>
      </c>
      <c r="FK33" s="15">
        <f t="shared" si="15"/>
        <v>47</v>
      </c>
      <c r="FL33" s="15">
        <v>0.0</v>
      </c>
      <c r="FM33" s="15" t="s">
        <v>257</v>
      </c>
      <c r="FN33" s="15" t="s">
        <v>222</v>
      </c>
      <c r="FO33" s="16" t="str">
        <f t="shared" si="39"/>
        <v>#VALUE!</v>
      </c>
      <c r="FP33" s="15">
        <v>1.0</v>
      </c>
      <c r="FQ33" s="15" t="s">
        <v>365</v>
      </c>
      <c r="FR33" s="16">
        <v>45357.0</v>
      </c>
      <c r="FS33" s="15">
        <f t="shared" si="32"/>
        <v>9</v>
      </c>
      <c r="FT33" s="15">
        <v>0.0</v>
      </c>
      <c r="FU33" s="15">
        <v>4.8</v>
      </c>
      <c r="FV33" s="15">
        <v>0.0</v>
      </c>
      <c r="FW33" s="15">
        <v>0.0</v>
      </c>
      <c r="FX33" s="15" t="s">
        <v>300</v>
      </c>
      <c r="FY33" s="15">
        <v>20.0</v>
      </c>
      <c r="FZ33" s="15">
        <v>1.36</v>
      </c>
      <c r="GA33" s="15" t="s">
        <v>222</v>
      </c>
      <c r="GB33" s="15">
        <v>6.4</v>
      </c>
      <c r="GC33" s="15">
        <v>97.0</v>
      </c>
      <c r="GD33" s="15">
        <v>4.8</v>
      </c>
      <c r="GE33" s="15">
        <v>12.0</v>
      </c>
      <c r="GF33" s="15">
        <v>32.0</v>
      </c>
      <c r="GG33" s="15">
        <f t="shared" si="20"/>
        <v>0.6701030928</v>
      </c>
      <c r="GH33" s="15">
        <v>92.0</v>
      </c>
      <c r="GI33" s="15">
        <v>1.59</v>
      </c>
      <c r="GJ33" s="15">
        <v>7.5</v>
      </c>
      <c r="GK33" s="15">
        <v>39.6</v>
      </c>
      <c r="GL33" s="15">
        <v>4.6</v>
      </c>
      <c r="GM33" s="15">
        <v>32.0</v>
      </c>
      <c r="GN33" s="15">
        <v>5.7</v>
      </c>
      <c r="GO33" s="15">
        <v>17.5</v>
      </c>
      <c r="GP33" s="16">
        <v>45390.0</v>
      </c>
      <c r="GQ33" s="15">
        <v>92.0</v>
      </c>
      <c r="GR33" s="15">
        <v>1.59</v>
      </c>
      <c r="GS33" s="15">
        <v>7.5</v>
      </c>
      <c r="GT33" s="15">
        <v>39.6</v>
      </c>
      <c r="GU33" s="15">
        <v>4.6</v>
      </c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>
        <v>112.0</v>
      </c>
      <c r="HG33" s="15">
        <v>188.0</v>
      </c>
      <c r="HH33" s="15">
        <v>230.0</v>
      </c>
      <c r="HI33" s="15">
        <v>190.0</v>
      </c>
      <c r="HJ33" s="15" t="s">
        <v>222</v>
      </c>
      <c r="HK33" s="15" t="s">
        <v>503</v>
      </c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</row>
    <row r="34" ht="15.75" customHeight="1">
      <c r="A34" s="27" t="s">
        <v>218</v>
      </c>
      <c r="B34" s="15" t="s">
        <v>627</v>
      </c>
      <c r="C34" s="15">
        <v>3.0766688E7</v>
      </c>
      <c r="D34" s="16">
        <v>20504.0</v>
      </c>
      <c r="E34" s="16">
        <v>45558.0</v>
      </c>
      <c r="F34" s="16">
        <v>45584.0</v>
      </c>
      <c r="G34" s="16">
        <v>45559.0</v>
      </c>
      <c r="H34" s="15">
        <f t="shared" si="1"/>
        <v>68.64383562</v>
      </c>
      <c r="I34" s="15">
        <v>0.0</v>
      </c>
      <c r="J34" s="15">
        <f t="shared" si="2"/>
        <v>26</v>
      </c>
      <c r="K34" s="15">
        <v>1.0</v>
      </c>
      <c r="L34" s="15">
        <v>60.0</v>
      </c>
      <c r="M34" s="15">
        <v>1.6</v>
      </c>
      <c r="N34" s="17">
        <f t="shared" si="3"/>
        <v>23.4375</v>
      </c>
      <c r="O34" s="15">
        <v>2.0</v>
      </c>
      <c r="P34" s="15" t="s">
        <v>628</v>
      </c>
      <c r="Q34" s="15">
        <v>0.0</v>
      </c>
      <c r="R34" s="15">
        <v>0.0</v>
      </c>
      <c r="S34" s="15" t="s">
        <v>629</v>
      </c>
      <c r="T34" s="15">
        <v>0.0</v>
      </c>
      <c r="U34" s="15">
        <v>0.0</v>
      </c>
      <c r="V34" s="15">
        <v>0.0</v>
      </c>
      <c r="W34" s="15">
        <v>0.0</v>
      </c>
      <c r="X34" s="18">
        <v>0.44236111111111115</v>
      </c>
      <c r="Y34" s="18">
        <v>0.5722222222222222</v>
      </c>
      <c r="Z34" s="19">
        <f t="shared" si="4"/>
        <v>0.1298611111</v>
      </c>
      <c r="AA34" s="18">
        <f t="shared" si="5"/>
        <v>187</v>
      </c>
      <c r="AB34" s="15">
        <v>2.0</v>
      </c>
      <c r="AC34" s="15">
        <v>0.0</v>
      </c>
      <c r="AD34" s="15" t="s">
        <v>222</v>
      </c>
      <c r="AE34" s="15" t="s">
        <v>222</v>
      </c>
      <c r="AF34" s="15">
        <v>0.0</v>
      </c>
      <c r="AG34" s="15" t="s">
        <v>630</v>
      </c>
      <c r="AH34" s="15" t="s">
        <v>631</v>
      </c>
      <c r="AI34" s="15">
        <v>0.0</v>
      </c>
      <c r="AJ34" s="15">
        <v>1.0</v>
      </c>
      <c r="AK34" s="15">
        <v>0.0</v>
      </c>
      <c r="AL34" s="15" t="s">
        <v>222</v>
      </c>
      <c r="AM34" s="15" t="s">
        <v>222</v>
      </c>
      <c r="AN34" s="15" t="s">
        <v>222</v>
      </c>
      <c r="AO34" s="15">
        <v>0.0</v>
      </c>
      <c r="AP34" s="15" t="s">
        <v>222</v>
      </c>
      <c r="AQ34" s="15" t="s">
        <v>222</v>
      </c>
      <c r="AR34" s="15" t="s">
        <v>222</v>
      </c>
      <c r="AS34" s="15">
        <v>0.0</v>
      </c>
      <c r="AT34" s="15" t="s">
        <v>222</v>
      </c>
      <c r="AU34" s="15" t="s">
        <v>222</v>
      </c>
      <c r="AV34" s="15" t="s">
        <v>222</v>
      </c>
      <c r="AW34" s="15" t="s">
        <v>632</v>
      </c>
      <c r="AX34" s="15" t="s">
        <v>225</v>
      </c>
      <c r="AY34" s="15">
        <v>0.0</v>
      </c>
      <c r="AZ34" s="15">
        <v>0.0</v>
      </c>
      <c r="BA34" s="15">
        <v>4.0</v>
      </c>
      <c r="BB34" s="15" t="s">
        <v>633</v>
      </c>
      <c r="BC34" s="29" t="s">
        <v>634</v>
      </c>
      <c r="BD34" s="15" t="s">
        <v>632</v>
      </c>
      <c r="BE34" s="15">
        <v>0.0</v>
      </c>
      <c r="BF34" s="15">
        <v>3.2</v>
      </c>
      <c r="BG34" s="15">
        <v>2.0</v>
      </c>
      <c r="BH34" s="15">
        <v>0.0</v>
      </c>
      <c r="BI34" s="15">
        <v>0.0</v>
      </c>
      <c r="BJ34" s="15" t="s">
        <v>222</v>
      </c>
      <c r="BK34" s="15" t="s">
        <v>222</v>
      </c>
      <c r="BL34" s="15">
        <v>0.0</v>
      </c>
      <c r="BM34" s="15" t="s">
        <v>222</v>
      </c>
      <c r="BN34" s="15">
        <v>0.0</v>
      </c>
      <c r="BO34" s="15">
        <v>0.0</v>
      </c>
      <c r="BP34" s="15" t="s">
        <v>222</v>
      </c>
      <c r="BQ34" s="15">
        <v>1.1</v>
      </c>
      <c r="BR34" s="15" t="s">
        <v>222</v>
      </c>
      <c r="BS34" s="15">
        <v>0.0</v>
      </c>
      <c r="BT34" s="15" t="s">
        <v>222</v>
      </c>
      <c r="BU34" s="15" t="s">
        <v>222</v>
      </c>
      <c r="BV34" s="15" t="s">
        <v>222</v>
      </c>
      <c r="BW34" s="15">
        <v>0.0</v>
      </c>
      <c r="BX34" s="15">
        <v>0.0</v>
      </c>
      <c r="BY34" s="15">
        <v>8.0</v>
      </c>
      <c r="BZ34" s="15">
        <f t="shared" si="6"/>
        <v>0</v>
      </c>
      <c r="CA34" s="15">
        <v>0.0</v>
      </c>
      <c r="CB34" s="15">
        <v>0.0</v>
      </c>
      <c r="CC34" s="15">
        <v>1.0</v>
      </c>
      <c r="CD34" s="15" t="s">
        <v>632</v>
      </c>
      <c r="CE34" s="15">
        <v>1.0</v>
      </c>
      <c r="CF34" s="15" t="s">
        <v>632</v>
      </c>
      <c r="CG34" s="15">
        <v>11.0</v>
      </c>
      <c r="CH34" s="15">
        <v>14.7</v>
      </c>
      <c r="CI34" s="15" t="s">
        <v>635</v>
      </c>
      <c r="CJ34" s="15" t="s">
        <v>222</v>
      </c>
      <c r="CK34" s="15">
        <v>0.0</v>
      </c>
      <c r="CL34" s="15" t="s">
        <v>222</v>
      </c>
      <c r="CM34" s="15" t="s">
        <v>222</v>
      </c>
      <c r="CN34" s="15" t="s">
        <v>222</v>
      </c>
      <c r="CO34" s="15">
        <v>14.2</v>
      </c>
      <c r="CP34" s="15">
        <v>150.0</v>
      </c>
      <c r="CQ34" s="15">
        <v>0.0</v>
      </c>
      <c r="CR34" s="15">
        <v>0.0</v>
      </c>
      <c r="CS34" s="15">
        <v>0.0</v>
      </c>
      <c r="CT34" s="15">
        <v>0.0</v>
      </c>
      <c r="CU34" s="15">
        <v>0.0</v>
      </c>
      <c r="CV34" s="15" t="s">
        <v>235</v>
      </c>
      <c r="CW34" s="16">
        <v>45562.0</v>
      </c>
      <c r="CX34" s="15">
        <v>420.0</v>
      </c>
      <c r="CY34" s="15">
        <f t="shared" si="28"/>
        <v>80.25</v>
      </c>
      <c r="CZ34" s="15">
        <v>4815.0</v>
      </c>
      <c r="DA34" s="15">
        <f t="shared" si="29"/>
        <v>4.95</v>
      </c>
      <c r="DB34" s="15">
        <v>297.0</v>
      </c>
      <c r="DC34" s="15">
        <v>1.0</v>
      </c>
      <c r="DD34" s="15">
        <v>1.0</v>
      </c>
      <c r="DE34" s="16">
        <v>45564.0</v>
      </c>
      <c r="DF34" s="15">
        <v>400.0</v>
      </c>
      <c r="DG34" s="15">
        <f t="shared" si="36"/>
        <v>3.166666667</v>
      </c>
      <c r="DH34" s="15">
        <v>190.0</v>
      </c>
      <c r="DI34" s="15">
        <f t="shared" si="41"/>
        <v>0.65</v>
      </c>
      <c r="DJ34" s="15">
        <v>39.0</v>
      </c>
      <c r="DK34" s="15">
        <v>1.0</v>
      </c>
      <c r="DL34" s="15">
        <v>1.0</v>
      </c>
      <c r="DM34" s="15">
        <v>1.0</v>
      </c>
      <c r="DN34" s="15">
        <v>0.0</v>
      </c>
      <c r="DO34" s="15">
        <v>1.0</v>
      </c>
      <c r="DP34" s="15">
        <v>2.0</v>
      </c>
      <c r="DQ34" s="15">
        <v>0.0</v>
      </c>
      <c r="DR34" s="15">
        <v>1.0</v>
      </c>
      <c r="DS34" s="15" t="s">
        <v>253</v>
      </c>
      <c r="DT34" s="15">
        <v>1.0</v>
      </c>
      <c r="DU34" s="15" t="s">
        <v>636</v>
      </c>
      <c r="DV34" s="15">
        <v>1.0</v>
      </c>
      <c r="DW34" s="15" t="s">
        <v>637</v>
      </c>
      <c r="DX34" s="15">
        <v>0.0</v>
      </c>
      <c r="DY34" s="15" t="s">
        <v>222</v>
      </c>
      <c r="DZ34" s="15">
        <v>0.0</v>
      </c>
      <c r="EA34" s="15">
        <v>0.0</v>
      </c>
      <c r="EB34" s="15">
        <v>0.0</v>
      </c>
      <c r="EC34" s="15">
        <v>0.0</v>
      </c>
      <c r="ED34" s="15">
        <v>1.0</v>
      </c>
      <c r="EE34" s="15" t="s">
        <v>390</v>
      </c>
      <c r="EF34" s="16">
        <v>45562.0</v>
      </c>
      <c r="EG34" s="15">
        <v>0.0</v>
      </c>
      <c r="EH34" s="15">
        <f t="shared" si="42"/>
        <v>3</v>
      </c>
      <c r="EI34" s="15">
        <v>0.0</v>
      </c>
      <c r="EJ34" s="15" t="s">
        <v>222</v>
      </c>
      <c r="EK34" s="15" t="s">
        <v>222</v>
      </c>
      <c r="EL34" s="15" t="s">
        <v>222</v>
      </c>
      <c r="EM34" s="15" t="s">
        <v>222</v>
      </c>
      <c r="EN34" s="15">
        <v>0.0</v>
      </c>
      <c r="EO34" s="15" t="s">
        <v>222</v>
      </c>
      <c r="EP34" s="15" t="s">
        <v>222</v>
      </c>
      <c r="EQ34" s="15" t="s">
        <v>222</v>
      </c>
      <c r="ER34" s="16">
        <v>45562.0</v>
      </c>
      <c r="ES34" s="16">
        <v>45584.0</v>
      </c>
      <c r="ET34" s="15">
        <f t="shared" si="11"/>
        <v>3</v>
      </c>
      <c r="EU34" s="15">
        <f t="shared" si="43"/>
        <v>22</v>
      </c>
      <c r="EV34" s="16">
        <v>45564.0</v>
      </c>
      <c r="EW34" s="15">
        <f t="shared" si="13"/>
        <v>5</v>
      </c>
      <c r="EX34" s="15">
        <v>0.0</v>
      </c>
      <c r="EY34" s="15">
        <v>0.0</v>
      </c>
      <c r="EZ34" s="15">
        <v>0.0</v>
      </c>
      <c r="FA34" s="15"/>
      <c r="FB34" s="15"/>
      <c r="FC34" s="20">
        <v>45625.0</v>
      </c>
      <c r="FD34" s="15" t="s">
        <v>222</v>
      </c>
      <c r="FE34" s="15" t="s">
        <v>222</v>
      </c>
      <c r="FF34" s="15" t="s">
        <v>222</v>
      </c>
      <c r="FG34" s="15" t="s">
        <v>222</v>
      </c>
      <c r="FH34" s="15">
        <v>0.0</v>
      </c>
      <c r="FI34" s="15" t="s">
        <v>222</v>
      </c>
      <c r="FJ34" s="15" t="s">
        <v>222</v>
      </c>
      <c r="FK34" s="15">
        <f t="shared" si="15"/>
        <v>67</v>
      </c>
      <c r="FL34" s="15">
        <v>0.0</v>
      </c>
      <c r="FM34" s="15" t="s">
        <v>222</v>
      </c>
      <c r="FN34" s="15" t="s">
        <v>222</v>
      </c>
      <c r="FO34" s="15" t="s">
        <v>222</v>
      </c>
      <c r="FP34" s="15">
        <v>1.0</v>
      </c>
      <c r="FQ34" s="15" t="s">
        <v>365</v>
      </c>
      <c r="FR34" s="16">
        <v>45565.0</v>
      </c>
      <c r="FS34" s="15">
        <f t="shared" si="32"/>
        <v>6</v>
      </c>
      <c r="FT34" s="15">
        <v>0.0</v>
      </c>
      <c r="FU34" s="15">
        <v>4.0</v>
      </c>
      <c r="FV34" s="15">
        <v>0.0</v>
      </c>
      <c r="FW34" s="15">
        <v>0.0</v>
      </c>
      <c r="FX34" s="15" t="s">
        <v>300</v>
      </c>
      <c r="FY34" s="15">
        <v>23.0</v>
      </c>
      <c r="FZ34" s="15">
        <v>0.97</v>
      </c>
      <c r="GA34" s="15">
        <v>42.6</v>
      </c>
      <c r="GB34" s="15">
        <v>5.7</v>
      </c>
      <c r="GC34" s="15">
        <v>129.0</v>
      </c>
      <c r="GD34" s="15">
        <v>2.5</v>
      </c>
      <c r="GE34" s="15">
        <v>13.4</v>
      </c>
      <c r="GF34" s="15">
        <v>69.0</v>
      </c>
      <c r="GG34" s="15">
        <f t="shared" si="20"/>
        <v>0.4651162791</v>
      </c>
      <c r="GH34" s="15">
        <v>55.0</v>
      </c>
      <c r="GI34" s="15">
        <v>1.16</v>
      </c>
      <c r="GJ34" s="15">
        <v>6.4</v>
      </c>
      <c r="GK34" s="15">
        <v>39.5</v>
      </c>
      <c r="GL34" s="15">
        <v>37.0</v>
      </c>
      <c r="GM34" s="15">
        <v>39.5</v>
      </c>
      <c r="GN34" s="15">
        <v>2.1</v>
      </c>
      <c r="GO34" s="15">
        <v>17.5</v>
      </c>
      <c r="GP34" s="16">
        <v>45625.0</v>
      </c>
      <c r="GQ34" s="15">
        <v>55.0</v>
      </c>
      <c r="GR34" s="15">
        <v>1.16</v>
      </c>
      <c r="GS34" s="15">
        <v>6.4</v>
      </c>
      <c r="GT34" s="15">
        <v>39.5</v>
      </c>
      <c r="GU34" s="15">
        <v>37.0</v>
      </c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>
        <v>42.7</v>
      </c>
      <c r="HG34" s="15">
        <v>170.0</v>
      </c>
      <c r="HH34" s="15">
        <v>312.0</v>
      </c>
      <c r="HI34" s="15">
        <v>336.0</v>
      </c>
      <c r="HJ34" s="15">
        <v>259.0</v>
      </c>
      <c r="HK34" s="15" t="s">
        <v>581</v>
      </c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</row>
    <row r="35" ht="15.75" customHeight="1">
      <c r="A35" s="27" t="s">
        <v>218</v>
      </c>
      <c r="B35" s="15" t="s">
        <v>638</v>
      </c>
      <c r="C35" s="15">
        <v>3.144275E7</v>
      </c>
      <c r="D35" s="16">
        <v>21724.0</v>
      </c>
      <c r="E35" s="16">
        <v>45564.0</v>
      </c>
      <c r="F35" s="16">
        <v>45583.0</v>
      </c>
      <c r="G35" s="16">
        <v>45565.0</v>
      </c>
      <c r="H35" s="15">
        <f t="shared" si="1"/>
        <v>65.31780822</v>
      </c>
      <c r="I35" s="15">
        <v>0.0</v>
      </c>
      <c r="J35" s="15">
        <f t="shared" si="2"/>
        <v>19</v>
      </c>
      <c r="K35" s="15">
        <v>1.0</v>
      </c>
      <c r="L35" s="15">
        <v>64.0</v>
      </c>
      <c r="M35" s="15">
        <v>1.62</v>
      </c>
      <c r="N35" s="17">
        <f t="shared" si="3"/>
        <v>24.38652644</v>
      </c>
      <c r="O35" s="15">
        <v>1.0</v>
      </c>
      <c r="P35" s="15" t="s">
        <v>639</v>
      </c>
      <c r="Q35" s="15">
        <v>0.0</v>
      </c>
      <c r="R35" s="15">
        <v>1.0</v>
      </c>
      <c r="S35" s="15" t="s">
        <v>640</v>
      </c>
      <c r="T35" s="15">
        <v>0.0</v>
      </c>
      <c r="U35" s="15">
        <v>0.0</v>
      </c>
      <c r="V35" s="15">
        <v>0.0</v>
      </c>
      <c r="W35" s="15">
        <v>0.0</v>
      </c>
      <c r="X35" s="18">
        <v>0.49652777777777773</v>
      </c>
      <c r="Y35" s="18">
        <v>0.6597222222222222</v>
      </c>
      <c r="Z35" s="19">
        <f t="shared" si="4"/>
        <v>0.1631944444</v>
      </c>
      <c r="AA35" s="18">
        <f t="shared" si="5"/>
        <v>235</v>
      </c>
      <c r="AB35" s="15">
        <v>2.0</v>
      </c>
      <c r="AC35" s="15">
        <v>0.0</v>
      </c>
      <c r="AD35" s="15" t="s">
        <v>222</v>
      </c>
      <c r="AE35" s="15" t="s">
        <v>222</v>
      </c>
      <c r="AF35" s="15">
        <v>0.0</v>
      </c>
      <c r="AG35" s="15" t="s">
        <v>630</v>
      </c>
      <c r="AH35" s="15" t="s">
        <v>641</v>
      </c>
      <c r="AI35" s="15">
        <v>0.0</v>
      </c>
      <c r="AJ35" s="15">
        <v>1.0</v>
      </c>
      <c r="AK35" s="15">
        <v>0.0</v>
      </c>
      <c r="AL35" s="15" t="s">
        <v>222</v>
      </c>
      <c r="AM35" s="15" t="s">
        <v>222</v>
      </c>
      <c r="AN35" s="15" t="s">
        <v>222</v>
      </c>
      <c r="AO35" s="15">
        <v>0.0</v>
      </c>
      <c r="AP35" s="15" t="s">
        <v>222</v>
      </c>
      <c r="AQ35" s="15" t="s">
        <v>222</v>
      </c>
      <c r="AR35" s="15" t="s">
        <v>222</v>
      </c>
      <c r="AS35" s="15">
        <v>0.0</v>
      </c>
      <c r="AT35" s="15" t="s">
        <v>222</v>
      </c>
      <c r="AU35" s="15" t="s">
        <v>222</v>
      </c>
      <c r="AV35" s="15" t="s">
        <v>222</v>
      </c>
      <c r="AW35" s="15" t="s">
        <v>632</v>
      </c>
      <c r="AX35" s="15" t="s">
        <v>225</v>
      </c>
      <c r="AY35" s="15">
        <v>0.0</v>
      </c>
      <c r="AZ35" s="15">
        <v>0.0</v>
      </c>
      <c r="BA35" s="15">
        <v>4.0</v>
      </c>
      <c r="BB35" s="15" t="s">
        <v>642</v>
      </c>
      <c r="BC35" s="15" t="s">
        <v>222</v>
      </c>
      <c r="BD35" s="15" t="s">
        <v>632</v>
      </c>
      <c r="BE35" s="15">
        <v>0.0</v>
      </c>
      <c r="BF35" s="15">
        <v>3.8</v>
      </c>
      <c r="BG35" s="15">
        <v>2.0</v>
      </c>
      <c r="BH35" s="15">
        <v>0.0</v>
      </c>
      <c r="BI35" s="15">
        <v>0.0</v>
      </c>
      <c r="BJ35" s="15" t="s">
        <v>222</v>
      </c>
      <c r="BK35" s="15" t="s">
        <v>222</v>
      </c>
      <c r="BL35" s="15">
        <v>0.0</v>
      </c>
      <c r="BM35" s="15" t="s">
        <v>222</v>
      </c>
      <c r="BN35" s="15">
        <v>0.0</v>
      </c>
      <c r="BO35" s="15">
        <v>0.0</v>
      </c>
      <c r="BP35" s="15">
        <v>5.2</v>
      </c>
      <c r="BQ35" s="15">
        <v>4.0</v>
      </c>
      <c r="BR35" s="15" t="s">
        <v>222</v>
      </c>
      <c r="BS35" s="15">
        <v>0.0</v>
      </c>
      <c r="BT35" s="15" t="s">
        <v>222</v>
      </c>
      <c r="BU35" s="15" t="s">
        <v>222</v>
      </c>
      <c r="BV35" s="15" t="s">
        <v>222</v>
      </c>
      <c r="BW35" s="15">
        <v>0.0</v>
      </c>
      <c r="BX35" s="15">
        <v>0.0</v>
      </c>
      <c r="BY35" s="15">
        <v>24.0</v>
      </c>
      <c r="BZ35" s="15">
        <f t="shared" si="6"/>
        <v>0</v>
      </c>
      <c r="CA35" s="15">
        <v>0.0</v>
      </c>
      <c r="CB35" s="15">
        <v>0.0</v>
      </c>
      <c r="CC35" s="15">
        <v>1.0</v>
      </c>
      <c r="CD35" s="15" t="s">
        <v>643</v>
      </c>
      <c r="CE35" s="15">
        <v>1.0</v>
      </c>
      <c r="CF35" s="15" t="s">
        <v>632</v>
      </c>
      <c r="CG35" s="15" t="s">
        <v>222</v>
      </c>
      <c r="CH35" s="15">
        <v>13.3</v>
      </c>
      <c r="CI35" s="15" t="s">
        <v>644</v>
      </c>
      <c r="CJ35" s="15" t="s">
        <v>222</v>
      </c>
      <c r="CK35" s="15">
        <v>0.0</v>
      </c>
      <c r="CL35" s="15" t="s">
        <v>234</v>
      </c>
      <c r="CM35" s="16">
        <v>45569.0</v>
      </c>
      <c r="CN35" s="15">
        <f t="shared" ref="CN35:CN37" si="44">CM35-G35</f>
        <v>4</v>
      </c>
      <c r="CO35" s="15">
        <v>11.0</v>
      </c>
      <c r="CP35" s="15">
        <v>250.0</v>
      </c>
      <c r="CQ35" s="15">
        <v>0.0</v>
      </c>
      <c r="CR35" s="15">
        <v>0.0</v>
      </c>
      <c r="CS35" s="15">
        <v>0.0</v>
      </c>
      <c r="CT35" s="15">
        <v>0.0</v>
      </c>
      <c r="CU35" s="15">
        <v>0.0</v>
      </c>
      <c r="CV35" s="15" t="s">
        <v>645</v>
      </c>
      <c r="CW35" s="16">
        <v>45568.0</v>
      </c>
      <c r="CX35" s="15">
        <v>60.0</v>
      </c>
      <c r="CY35" s="15">
        <f t="shared" si="28"/>
        <v>14.21666667</v>
      </c>
      <c r="CZ35" s="15">
        <v>853.0</v>
      </c>
      <c r="DA35" s="15">
        <f t="shared" si="29"/>
        <v>0.6833333333</v>
      </c>
      <c r="DB35" s="15">
        <v>41.0</v>
      </c>
      <c r="DC35" s="15">
        <v>1.0</v>
      </c>
      <c r="DD35" s="15">
        <v>1.0</v>
      </c>
      <c r="DE35" s="16">
        <v>45570.0</v>
      </c>
      <c r="DF35" s="15">
        <v>350.0</v>
      </c>
      <c r="DG35" s="15">
        <f t="shared" si="36"/>
        <v>0.9266666667</v>
      </c>
      <c r="DH35" s="15">
        <v>55.6</v>
      </c>
      <c r="DI35" s="15">
        <f t="shared" si="41"/>
        <v>0.45</v>
      </c>
      <c r="DJ35" s="15">
        <v>27.0</v>
      </c>
      <c r="DK35" s="15">
        <v>0.0</v>
      </c>
      <c r="DL35" s="15">
        <v>1.0</v>
      </c>
      <c r="DM35" s="15">
        <v>1.0</v>
      </c>
      <c r="DN35" s="15">
        <v>0.0</v>
      </c>
      <c r="DO35" s="15">
        <v>1.0</v>
      </c>
      <c r="DP35" s="15">
        <v>2.0</v>
      </c>
      <c r="DQ35" s="15">
        <v>0.0</v>
      </c>
      <c r="DR35" s="15">
        <v>1.0</v>
      </c>
      <c r="DS35" s="15" t="s">
        <v>646</v>
      </c>
      <c r="DT35" s="15">
        <v>1.0</v>
      </c>
      <c r="DU35" s="15" t="s">
        <v>646</v>
      </c>
      <c r="DV35" s="15">
        <v>0.0</v>
      </c>
      <c r="DW35" s="15" t="s">
        <v>222</v>
      </c>
      <c r="DX35" s="15">
        <v>0.0</v>
      </c>
      <c r="DY35" s="15" t="s">
        <v>222</v>
      </c>
      <c r="DZ35" s="15">
        <v>0.0</v>
      </c>
      <c r="EA35" s="15">
        <v>0.0</v>
      </c>
      <c r="EB35" s="15">
        <v>1.0</v>
      </c>
      <c r="EC35" s="15">
        <v>0.0</v>
      </c>
      <c r="ED35" s="15">
        <v>0.0</v>
      </c>
      <c r="EE35" s="15" t="s">
        <v>390</v>
      </c>
      <c r="EF35" s="16">
        <v>45566.0</v>
      </c>
      <c r="EG35" s="15">
        <v>0.0</v>
      </c>
      <c r="EH35" s="15">
        <f t="shared" si="42"/>
        <v>1</v>
      </c>
      <c r="EI35" s="15">
        <v>1.0</v>
      </c>
      <c r="EJ35" s="16">
        <v>45572.0</v>
      </c>
      <c r="EK35" s="16">
        <v>45575.0</v>
      </c>
      <c r="EL35" s="15">
        <f>EK35-EJ35</f>
        <v>3</v>
      </c>
      <c r="EM35" s="15">
        <v>1.0</v>
      </c>
      <c r="EN35" s="15">
        <v>0.0</v>
      </c>
      <c r="EO35" s="15" t="s">
        <v>222</v>
      </c>
      <c r="EP35" s="15" t="s">
        <v>222</v>
      </c>
      <c r="EQ35" s="15" t="s">
        <v>222</v>
      </c>
      <c r="ER35" s="16">
        <v>45568.0</v>
      </c>
      <c r="ES35" s="16">
        <v>45576.0</v>
      </c>
      <c r="ET35" s="15">
        <f t="shared" si="11"/>
        <v>3</v>
      </c>
      <c r="EU35" s="15">
        <f t="shared" si="43"/>
        <v>8</v>
      </c>
      <c r="EV35" s="16">
        <v>45569.0</v>
      </c>
      <c r="EW35" s="15">
        <f t="shared" si="13"/>
        <v>4</v>
      </c>
      <c r="EX35" s="15">
        <v>1.0</v>
      </c>
      <c r="EY35" s="15">
        <v>0.0</v>
      </c>
      <c r="EZ35" s="15">
        <v>0.0</v>
      </c>
      <c r="FA35" s="15">
        <v>0.0</v>
      </c>
      <c r="FB35" s="15" t="s">
        <v>222</v>
      </c>
      <c r="FC35" s="20">
        <v>45614.0</v>
      </c>
      <c r="FD35" s="15" t="s">
        <v>222</v>
      </c>
      <c r="FE35" s="15" t="s">
        <v>222</v>
      </c>
      <c r="FF35" s="15" t="s">
        <v>222</v>
      </c>
      <c r="FG35" s="15" t="s">
        <v>222</v>
      </c>
      <c r="FH35" s="15">
        <v>0.0</v>
      </c>
      <c r="FI35" s="15" t="s">
        <v>222</v>
      </c>
      <c r="FJ35" s="15" t="s">
        <v>222</v>
      </c>
      <c r="FK35" s="15">
        <f t="shared" si="15"/>
        <v>50</v>
      </c>
      <c r="FL35" s="15">
        <v>0.0</v>
      </c>
      <c r="FM35" s="15" t="s">
        <v>222</v>
      </c>
      <c r="FN35" s="15" t="s">
        <v>222</v>
      </c>
      <c r="FO35" s="15" t="s">
        <v>222</v>
      </c>
      <c r="FP35" s="15">
        <v>1.0</v>
      </c>
      <c r="FQ35" s="15" t="s">
        <v>365</v>
      </c>
      <c r="FR35" s="16">
        <v>45570.0</v>
      </c>
      <c r="FS35" s="15">
        <f t="shared" si="32"/>
        <v>5</v>
      </c>
      <c r="FT35" s="15">
        <v>0.0</v>
      </c>
      <c r="FU35" s="15">
        <v>3.0</v>
      </c>
      <c r="FV35" s="15">
        <v>0.0</v>
      </c>
      <c r="FW35" s="15">
        <v>0.0</v>
      </c>
      <c r="FX35" s="15" t="s">
        <v>300</v>
      </c>
      <c r="FY35" s="15">
        <v>31.0</v>
      </c>
      <c r="FZ35" s="15" t="s">
        <v>222</v>
      </c>
      <c r="GA35" s="15">
        <v>42.4</v>
      </c>
      <c r="GB35" s="15" t="s">
        <v>222</v>
      </c>
      <c r="GC35" s="15">
        <v>119.0</v>
      </c>
      <c r="GD35" s="15">
        <v>3.0</v>
      </c>
      <c r="GE35" s="15">
        <v>15.1</v>
      </c>
      <c r="GF35" s="15">
        <v>55.5</v>
      </c>
      <c r="GG35" s="15">
        <f t="shared" si="20"/>
        <v>0.5336134454</v>
      </c>
      <c r="GH35" s="15"/>
      <c r="GI35" s="15">
        <v>1.18</v>
      </c>
      <c r="GJ35" s="15">
        <v>5.8</v>
      </c>
      <c r="GK35" s="15">
        <v>37.0</v>
      </c>
      <c r="GL35" s="15">
        <v>33.0</v>
      </c>
      <c r="GM35" s="15">
        <v>55.5</v>
      </c>
      <c r="GN35" s="15">
        <v>3.0</v>
      </c>
      <c r="GO35" s="15">
        <v>21.0</v>
      </c>
      <c r="GP35" s="16">
        <v>45611.0</v>
      </c>
      <c r="GQ35" s="15">
        <v>61.0</v>
      </c>
      <c r="GR35" s="15">
        <v>1.18</v>
      </c>
      <c r="GS35" s="15">
        <v>5.8</v>
      </c>
      <c r="GT35" s="15">
        <v>37.0</v>
      </c>
      <c r="GU35" s="15">
        <v>33.0</v>
      </c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>
        <v>62.5</v>
      </c>
      <c r="HG35" s="15" t="s">
        <v>222</v>
      </c>
      <c r="HH35" s="15">
        <v>280.0</v>
      </c>
      <c r="HI35" s="15" t="s">
        <v>222</v>
      </c>
      <c r="HJ35" s="15">
        <v>284.0</v>
      </c>
      <c r="HK35" s="15" t="s">
        <v>581</v>
      </c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</row>
    <row r="36" ht="15.75" customHeight="1">
      <c r="A36" s="27" t="s">
        <v>218</v>
      </c>
      <c r="B36" s="15" t="s">
        <v>647</v>
      </c>
      <c r="C36" s="15">
        <v>1.223282E7</v>
      </c>
      <c r="D36" s="16">
        <v>30653.0</v>
      </c>
      <c r="E36" s="16">
        <v>45565.0</v>
      </c>
      <c r="F36" s="16">
        <v>45597.0</v>
      </c>
      <c r="G36" s="16">
        <v>45566.0</v>
      </c>
      <c r="H36" s="15">
        <f t="shared" si="1"/>
        <v>40.85753425</v>
      </c>
      <c r="I36" s="15">
        <v>0.0</v>
      </c>
      <c r="J36" s="15">
        <f t="shared" si="2"/>
        <v>32</v>
      </c>
      <c r="K36" s="15">
        <v>1.0</v>
      </c>
      <c r="L36" s="15">
        <v>62.0</v>
      </c>
      <c r="M36" s="15">
        <v>1.65</v>
      </c>
      <c r="N36" s="17">
        <f t="shared" si="3"/>
        <v>22.77318641</v>
      </c>
      <c r="O36" s="15">
        <v>1.0</v>
      </c>
      <c r="P36" s="15" t="s">
        <v>648</v>
      </c>
      <c r="Q36" s="15">
        <v>0.0</v>
      </c>
      <c r="R36" s="15">
        <v>0.0</v>
      </c>
      <c r="S36" s="15" t="s">
        <v>222</v>
      </c>
      <c r="T36" s="15">
        <v>0.0</v>
      </c>
      <c r="U36" s="15">
        <v>0.0</v>
      </c>
      <c r="V36" s="15">
        <v>0.0</v>
      </c>
      <c r="W36" s="15">
        <v>0.0</v>
      </c>
      <c r="X36" s="18">
        <v>0.4993055555555555</v>
      </c>
      <c r="Y36" s="18">
        <v>0.6756944444444444</v>
      </c>
      <c r="Z36" s="19">
        <f t="shared" si="4"/>
        <v>0.1763888889</v>
      </c>
      <c r="AA36" s="18">
        <f t="shared" si="5"/>
        <v>254</v>
      </c>
      <c r="AB36" s="15">
        <v>2.0</v>
      </c>
      <c r="AC36" s="15">
        <v>0.0</v>
      </c>
      <c r="AD36" s="15" t="s">
        <v>222</v>
      </c>
      <c r="AE36" s="15" t="s">
        <v>222</v>
      </c>
      <c r="AF36" s="15">
        <v>0.0</v>
      </c>
      <c r="AG36" s="15" t="s">
        <v>649</v>
      </c>
      <c r="AH36" s="15" t="s">
        <v>650</v>
      </c>
      <c r="AI36" s="15">
        <v>0.0</v>
      </c>
      <c r="AJ36" s="15">
        <v>1.0</v>
      </c>
      <c r="AK36" s="15">
        <v>0.0</v>
      </c>
      <c r="AL36" s="15" t="s">
        <v>222</v>
      </c>
      <c r="AM36" s="15" t="s">
        <v>222</v>
      </c>
      <c r="AN36" s="15" t="s">
        <v>222</v>
      </c>
      <c r="AO36" s="15">
        <v>1.0</v>
      </c>
      <c r="AP36" s="15" t="s">
        <v>651</v>
      </c>
      <c r="AQ36" s="15"/>
      <c r="AR36" s="15"/>
      <c r="AS36" s="15">
        <v>1.0</v>
      </c>
      <c r="AT36" s="15" t="s">
        <v>652</v>
      </c>
      <c r="AU36" s="16">
        <v>45602.0</v>
      </c>
      <c r="AV36" s="15">
        <f>AU36-G36</f>
        <v>36</v>
      </c>
      <c r="AW36" s="15" t="s">
        <v>653</v>
      </c>
      <c r="AX36" s="15" t="s">
        <v>225</v>
      </c>
      <c r="AY36" s="15">
        <v>0.0</v>
      </c>
      <c r="AZ36" s="15">
        <v>0.0</v>
      </c>
      <c r="BA36" s="15">
        <v>4.0</v>
      </c>
      <c r="BB36" s="15" t="s">
        <v>654</v>
      </c>
      <c r="BC36" s="15" t="s">
        <v>655</v>
      </c>
      <c r="BD36" s="15" t="s">
        <v>222</v>
      </c>
      <c r="BE36" s="15">
        <v>0.0</v>
      </c>
      <c r="BF36" s="15">
        <v>2.2</v>
      </c>
      <c r="BG36" s="15">
        <v>2.0</v>
      </c>
      <c r="BH36" s="15">
        <v>0.0</v>
      </c>
      <c r="BI36" s="15">
        <v>0.0</v>
      </c>
      <c r="BJ36" s="15" t="s">
        <v>222</v>
      </c>
      <c r="BK36" s="15" t="s">
        <v>222</v>
      </c>
      <c r="BL36" s="15">
        <v>1.0</v>
      </c>
      <c r="BM36" s="15" t="s">
        <v>408</v>
      </c>
      <c r="BN36" s="15">
        <v>0.0</v>
      </c>
      <c r="BO36" s="15">
        <v>0.0</v>
      </c>
      <c r="BP36" s="15">
        <v>3.6</v>
      </c>
      <c r="BQ36" s="15">
        <v>1.0</v>
      </c>
      <c r="BR36" s="15" t="s">
        <v>222</v>
      </c>
      <c r="BS36" s="15">
        <v>0.0</v>
      </c>
      <c r="BT36" s="15" t="s">
        <v>222</v>
      </c>
      <c r="BU36" s="15" t="s">
        <v>222</v>
      </c>
      <c r="BV36" s="15" t="s">
        <v>222</v>
      </c>
      <c r="BW36" s="15">
        <v>0.0</v>
      </c>
      <c r="BX36" s="15">
        <v>0.0</v>
      </c>
      <c r="BY36" s="15">
        <v>22.0</v>
      </c>
      <c r="BZ36" s="15">
        <f t="shared" si="6"/>
        <v>0</v>
      </c>
      <c r="CA36" s="15">
        <v>0.0</v>
      </c>
      <c r="CB36" s="15">
        <v>0.0</v>
      </c>
      <c r="CC36" s="15">
        <v>0.0</v>
      </c>
      <c r="CD36" s="15" t="s">
        <v>222</v>
      </c>
      <c r="CE36" s="15">
        <v>1.0</v>
      </c>
      <c r="CF36" s="15" t="s">
        <v>632</v>
      </c>
      <c r="CG36" s="15">
        <v>6.0</v>
      </c>
      <c r="CH36" s="15">
        <v>13.8</v>
      </c>
      <c r="CI36" s="15" t="s">
        <v>656</v>
      </c>
      <c r="CJ36" s="15" t="s">
        <v>222</v>
      </c>
      <c r="CK36" s="15">
        <v>0.0</v>
      </c>
      <c r="CL36" s="15" t="s">
        <v>234</v>
      </c>
      <c r="CM36" s="16">
        <v>45574.0</v>
      </c>
      <c r="CN36" s="15">
        <f t="shared" si="44"/>
        <v>8</v>
      </c>
      <c r="CO36" s="15">
        <v>12.7</v>
      </c>
      <c r="CP36" s="15">
        <v>250.0</v>
      </c>
      <c r="CQ36" s="15">
        <v>0.0</v>
      </c>
      <c r="CR36" s="15">
        <v>0.0</v>
      </c>
      <c r="CS36" s="15">
        <v>0.0</v>
      </c>
      <c r="CT36" s="15">
        <v>0.0</v>
      </c>
      <c r="CU36" s="15">
        <v>0.0</v>
      </c>
      <c r="CV36" s="15" t="s">
        <v>645</v>
      </c>
      <c r="CW36" s="16">
        <v>45569.0</v>
      </c>
      <c r="CX36" s="15">
        <v>300.0</v>
      </c>
      <c r="CY36" s="15">
        <f t="shared" si="28"/>
        <v>20.93333333</v>
      </c>
      <c r="CZ36" s="15">
        <v>1256.0</v>
      </c>
      <c r="DA36" s="15">
        <f t="shared" si="29"/>
        <v>4.866666667</v>
      </c>
      <c r="DB36" s="15">
        <v>292.0</v>
      </c>
      <c r="DC36" s="15">
        <v>1.0</v>
      </c>
      <c r="DD36" s="15">
        <v>1.0</v>
      </c>
      <c r="DE36" s="16">
        <v>45571.0</v>
      </c>
      <c r="DF36" s="15">
        <v>400.0</v>
      </c>
      <c r="DG36" s="15">
        <f t="shared" si="36"/>
        <v>14.88333333</v>
      </c>
      <c r="DH36" s="15">
        <v>893.0</v>
      </c>
      <c r="DI36" s="15">
        <f t="shared" si="41"/>
        <v>0.4</v>
      </c>
      <c r="DJ36" s="15">
        <v>24.0</v>
      </c>
      <c r="DK36" s="15">
        <v>1.0</v>
      </c>
      <c r="DL36" s="15">
        <v>1.0</v>
      </c>
      <c r="DM36" s="15">
        <v>1.0</v>
      </c>
      <c r="DN36" s="15">
        <v>0.0</v>
      </c>
      <c r="DO36" s="15">
        <v>1.0</v>
      </c>
      <c r="DP36" s="15">
        <v>2.0</v>
      </c>
      <c r="DQ36" s="15">
        <v>0.0</v>
      </c>
      <c r="DR36" s="15">
        <v>1.0</v>
      </c>
      <c r="DS36" s="15" t="s">
        <v>657</v>
      </c>
      <c r="DT36" s="15">
        <v>1.0</v>
      </c>
      <c r="DU36" s="15" t="s">
        <v>658</v>
      </c>
      <c r="DV36" s="15">
        <v>0.0</v>
      </c>
      <c r="DW36" s="15" t="s">
        <v>222</v>
      </c>
      <c r="DX36" s="15">
        <v>0.0</v>
      </c>
      <c r="DY36" s="15" t="s">
        <v>222</v>
      </c>
      <c r="DZ36" s="15">
        <v>0.0</v>
      </c>
      <c r="EA36" s="15">
        <v>0.0</v>
      </c>
      <c r="EB36" s="15">
        <v>0.0</v>
      </c>
      <c r="EC36" s="15">
        <v>1.0</v>
      </c>
      <c r="ED36" s="15">
        <v>1.0</v>
      </c>
      <c r="EE36" s="15" t="s">
        <v>390</v>
      </c>
      <c r="EF36" s="16">
        <v>45567.0</v>
      </c>
      <c r="EG36" s="15">
        <v>0.0</v>
      </c>
      <c r="EH36" s="15">
        <f t="shared" si="42"/>
        <v>1</v>
      </c>
      <c r="EI36" s="15">
        <v>0.0</v>
      </c>
      <c r="EJ36" s="15" t="s">
        <v>222</v>
      </c>
      <c r="EK36" s="15" t="s">
        <v>222</v>
      </c>
      <c r="EL36" s="15" t="s">
        <v>222</v>
      </c>
      <c r="EM36" s="15" t="s">
        <v>222</v>
      </c>
      <c r="EN36" s="15">
        <v>0.0</v>
      </c>
      <c r="EO36" s="15" t="s">
        <v>222</v>
      </c>
      <c r="EP36" s="15" t="s">
        <v>222</v>
      </c>
      <c r="EQ36" s="15" t="s">
        <v>222</v>
      </c>
      <c r="ER36" s="16">
        <v>45569.0</v>
      </c>
      <c r="ES36" s="16">
        <v>45572.0</v>
      </c>
      <c r="ET36" s="15">
        <f t="shared" si="11"/>
        <v>3</v>
      </c>
      <c r="EU36" s="15">
        <f t="shared" si="43"/>
        <v>3</v>
      </c>
      <c r="EV36" s="16">
        <v>45570.0</v>
      </c>
      <c r="EW36" s="15">
        <f t="shared" si="13"/>
        <v>4</v>
      </c>
      <c r="EX36" s="15">
        <v>0.0</v>
      </c>
      <c r="EY36" s="15">
        <v>0.0</v>
      </c>
      <c r="EZ36" s="15">
        <v>0.0</v>
      </c>
      <c r="FA36" s="15">
        <v>0.0</v>
      </c>
      <c r="FB36" s="15" t="s">
        <v>222</v>
      </c>
      <c r="FC36" s="20">
        <v>45595.0</v>
      </c>
      <c r="FD36" s="15" t="s">
        <v>222</v>
      </c>
      <c r="FE36" s="15" t="s">
        <v>222</v>
      </c>
      <c r="FF36" s="15" t="s">
        <v>222</v>
      </c>
      <c r="FG36" s="15" t="s">
        <v>222</v>
      </c>
      <c r="FH36" s="15">
        <v>0.0</v>
      </c>
      <c r="FI36" s="15" t="s">
        <v>222</v>
      </c>
      <c r="FJ36" s="15" t="s">
        <v>222</v>
      </c>
      <c r="FK36" s="15">
        <f t="shared" si="15"/>
        <v>30</v>
      </c>
      <c r="FL36" s="15">
        <v>0.0</v>
      </c>
      <c r="FM36" s="15" t="s">
        <v>222</v>
      </c>
      <c r="FN36" s="15" t="s">
        <v>222</v>
      </c>
      <c r="FO36" s="15" t="s">
        <v>222</v>
      </c>
      <c r="FP36" s="15">
        <v>1.0</v>
      </c>
      <c r="FQ36" s="15" t="s">
        <v>365</v>
      </c>
      <c r="FR36" s="16">
        <v>45581.0</v>
      </c>
      <c r="FS36" s="15">
        <f t="shared" si="32"/>
        <v>15</v>
      </c>
      <c r="FT36" s="15">
        <v>0.0</v>
      </c>
      <c r="FU36" s="15">
        <v>1.6</v>
      </c>
      <c r="FV36" s="15">
        <v>0.0</v>
      </c>
      <c r="FW36" s="15">
        <v>0.0</v>
      </c>
      <c r="FX36" s="15" t="s">
        <v>659</v>
      </c>
      <c r="FY36" s="15">
        <v>20.0</v>
      </c>
      <c r="FZ36" s="15">
        <v>1.0</v>
      </c>
      <c r="GA36" s="15">
        <v>36.3</v>
      </c>
      <c r="GB36" s="15">
        <v>5.4</v>
      </c>
      <c r="GC36" s="15">
        <v>110.2</v>
      </c>
      <c r="GD36" s="15">
        <v>1.6</v>
      </c>
      <c r="GE36" s="15">
        <v>9.4</v>
      </c>
      <c r="GF36" s="15">
        <v>54.2</v>
      </c>
      <c r="GG36" s="15">
        <f t="shared" si="20"/>
        <v>0.5081669691</v>
      </c>
      <c r="GH36" s="15">
        <v>62.0</v>
      </c>
      <c r="GI36" s="15">
        <v>1.57</v>
      </c>
      <c r="GJ36" s="15">
        <v>7.2</v>
      </c>
      <c r="GK36" s="15">
        <v>24.4</v>
      </c>
      <c r="GL36" s="15" t="s">
        <v>222</v>
      </c>
      <c r="GM36" s="15">
        <v>54.2</v>
      </c>
      <c r="GN36" s="15">
        <v>2.4</v>
      </c>
      <c r="GO36" s="15">
        <v>19.4</v>
      </c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>
        <v>62.5</v>
      </c>
      <c r="HG36" s="15" t="s">
        <v>222</v>
      </c>
      <c r="HH36" s="15">
        <v>280.0</v>
      </c>
      <c r="HI36" s="15" t="s">
        <v>222</v>
      </c>
      <c r="HJ36" s="15">
        <v>234.0</v>
      </c>
      <c r="HK36" s="15" t="s">
        <v>581</v>
      </c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</row>
    <row r="37" ht="15.75" customHeight="1">
      <c r="A37" s="27" t="s">
        <v>218</v>
      </c>
      <c r="B37" s="15" t="s">
        <v>660</v>
      </c>
      <c r="C37" s="15">
        <v>3.0928859E7</v>
      </c>
      <c r="D37" s="16">
        <v>17633.0</v>
      </c>
      <c r="E37" s="16">
        <v>45194.0</v>
      </c>
      <c r="F37" s="16">
        <v>45211.0</v>
      </c>
      <c r="G37" s="16">
        <v>45195.0</v>
      </c>
      <c r="H37" s="15">
        <f t="shared" si="1"/>
        <v>75.51232877</v>
      </c>
      <c r="I37" s="15">
        <v>1.0</v>
      </c>
      <c r="J37" s="15">
        <f t="shared" si="2"/>
        <v>17</v>
      </c>
      <c r="K37" s="15">
        <v>0.0</v>
      </c>
      <c r="L37" s="15">
        <v>67.0</v>
      </c>
      <c r="M37" s="15">
        <v>1.76</v>
      </c>
      <c r="N37" s="17">
        <f t="shared" si="3"/>
        <v>21.62964876</v>
      </c>
      <c r="O37" s="15">
        <v>2.0</v>
      </c>
      <c r="P37" s="15" t="s">
        <v>661</v>
      </c>
      <c r="Q37" s="15">
        <v>0.0</v>
      </c>
      <c r="R37" s="15">
        <v>1.0</v>
      </c>
      <c r="S37" s="15" t="s">
        <v>662</v>
      </c>
      <c r="T37" s="15">
        <v>0.0</v>
      </c>
      <c r="U37" s="15">
        <v>0.0</v>
      </c>
      <c r="V37" s="15">
        <v>0.0</v>
      </c>
      <c r="W37" s="15">
        <v>0.0</v>
      </c>
      <c r="X37" s="18">
        <v>0.5833333333333334</v>
      </c>
      <c r="Y37" s="18">
        <v>0.7680555555555556</v>
      </c>
      <c r="Z37" s="19">
        <f t="shared" si="4"/>
        <v>0.1847222222</v>
      </c>
      <c r="AA37" s="18">
        <f t="shared" si="5"/>
        <v>266</v>
      </c>
      <c r="AB37" s="15">
        <v>2.0</v>
      </c>
      <c r="AC37" s="15">
        <v>0.0</v>
      </c>
      <c r="AD37" s="15" t="s">
        <v>222</v>
      </c>
      <c r="AE37" s="15" t="s">
        <v>222</v>
      </c>
      <c r="AF37" s="15">
        <v>0.0</v>
      </c>
      <c r="AG37" s="15" t="s">
        <v>663</v>
      </c>
      <c r="AH37" s="15" t="s">
        <v>222</v>
      </c>
      <c r="AI37" s="15">
        <v>0.0</v>
      </c>
      <c r="AJ37" s="15">
        <v>1.0</v>
      </c>
      <c r="AK37" s="15">
        <v>0.0</v>
      </c>
      <c r="AL37" s="15" t="s">
        <v>222</v>
      </c>
      <c r="AM37" s="15" t="s">
        <v>222</v>
      </c>
      <c r="AN37" s="15" t="s">
        <v>222</v>
      </c>
      <c r="AO37" s="15">
        <v>0.0</v>
      </c>
      <c r="AP37" s="15" t="s">
        <v>222</v>
      </c>
      <c r="AQ37" s="15" t="s">
        <v>222</v>
      </c>
      <c r="AR37" s="15" t="s">
        <v>222</v>
      </c>
      <c r="AS37" s="15">
        <v>0.0</v>
      </c>
      <c r="AT37" s="15" t="s">
        <v>222</v>
      </c>
      <c r="AU37" s="15" t="s">
        <v>222</v>
      </c>
      <c r="AV37" s="15" t="s">
        <v>222</v>
      </c>
      <c r="AW37" s="15" t="s">
        <v>663</v>
      </c>
      <c r="AX37" s="15" t="s">
        <v>225</v>
      </c>
      <c r="AY37" s="15">
        <v>0.0</v>
      </c>
      <c r="AZ37" s="15">
        <v>0.0</v>
      </c>
      <c r="BA37" s="15">
        <v>6.0</v>
      </c>
      <c r="BB37" s="15" t="s">
        <v>664</v>
      </c>
      <c r="BC37" s="15" t="s">
        <v>665</v>
      </c>
      <c r="BD37" s="15" t="s">
        <v>663</v>
      </c>
      <c r="BE37" s="15" t="s">
        <v>222</v>
      </c>
      <c r="BF37" s="15">
        <v>6.0</v>
      </c>
      <c r="BG37" s="15" t="s">
        <v>222</v>
      </c>
      <c r="BH37" s="15" t="s">
        <v>222</v>
      </c>
      <c r="BI37" s="15" t="s">
        <v>222</v>
      </c>
      <c r="BJ37" s="15" t="s">
        <v>222</v>
      </c>
      <c r="BK37" s="15" t="s">
        <v>222</v>
      </c>
      <c r="BL37" s="15">
        <v>1.0</v>
      </c>
      <c r="BM37" s="15" t="s">
        <v>666</v>
      </c>
      <c r="BN37" s="15">
        <v>0.0</v>
      </c>
      <c r="BO37" s="15">
        <v>0.0</v>
      </c>
      <c r="BP37" s="15" t="s">
        <v>222</v>
      </c>
      <c r="BQ37" s="15" t="s">
        <v>222</v>
      </c>
      <c r="BR37" s="15" t="s">
        <v>222</v>
      </c>
      <c r="BS37" s="15">
        <v>1.0</v>
      </c>
      <c r="BT37" s="15">
        <v>2.0</v>
      </c>
      <c r="BU37" s="15">
        <v>1.0</v>
      </c>
      <c r="BV37" s="15">
        <v>2.0</v>
      </c>
      <c r="BW37" s="15">
        <v>0.0</v>
      </c>
      <c r="BX37" s="15">
        <v>0.0</v>
      </c>
      <c r="BY37" s="15">
        <v>27.0</v>
      </c>
      <c r="BZ37" s="15">
        <f t="shared" si="6"/>
        <v>0</v>
      </c>
      <c r="CA37" s="15">
        <v>0.0</v>
      </c>
      <c r="CB37" s="15">
        <v>0.0</v>
      </c>
      <c r="CC37" s="15">
        <v>1.0</v>
      </c>
      <c r="CD37" s="15" t="s">
        <v>667</v>
      </c>
      <c r="CE37" s="15">
        <v>1.0</v>
      </c>
      <c r="CF37" s="15" t="s">
        <v>668</v>
      </c>
      <c r="CG37" s="15">
        <v>4.3</v>
      </c>
      <c r="CH37" s="15">
        <v>12.1</v>
      </c>
      <c r="CI37" s="15" t="s">
        <v>669</v>
      </c>
      <c r="CJ37" s="15"/>
      <c r="CK37" s="15" t="s">
        <v>670</v>
      </c>
      <c r="CL37" s="15" t="s">
        <v>234</v>
      </c>
      <c r="CM37" s="16">
        <v>45197.0</v>
      </c>
      <c r="CN37" s="15">
        <f t="shared" si="44"/>
        <v>2</v>
      </c>
      <c r="CO37" s="15">
        <v>11.0</v>
      </c>
      <c r="CP37" s="15">
        <v>150.0</v>
      </c>
      <c r="CQ37" s="15">
        <v>0.0</v>
      </c>
      <c r="CR37" s="15">
        <v>0.0</v>
      </c>
      <c r="CS37" s="15">
        <v>0.0</v>
      </c>
      <c r="CT37" s="15">
        <v>0.0</v>
      </c>
      <c r="CU37" s="15">
        <v>0.0</v>
      </c>
      <c r="CV37" s="15" t="s">
        <v>491</v>
      </c>
      <c r="CW37" s="16">
        <v>45198.0</v>
      </c>
      <c r="CX37" s="15">
        <v>400.0</v>
      </c>
      <c r="CY37" s="15">
        <f t="shared" si="28"/>
        <v>0.75</v>
      </c>
      <c r="CZ37" s="15">
        <v>45.0</v>
      </c>
      <c r="DA37" s="15">
        <f t="shared" si="29"/>
        <v>0.7716666667</v>
      </c>
      <c r="DB37" s="15">
        <v>46.3</v>
      </c>
      <c r="DC37" s="15">
        <v>0.0</v>
      </c>
      <c r="DD37" s="15">
        <v>0.0</v>
      </c>
      <c r="DE37" s="16">
        <v>45200.0</v>
      </c>
      <c r="DF37" s="15">
        <v>300.0</v>
      </c>
      <c r="DG37" s="15">
        <f t="shared" si="36"/>
        <v>0.3333333333</v>
      </c>
      <c r="DH37" s="15">
        <v>20.0</v>
      </c>
      <c r="DI37" s="15">
        <f t="shared" si="41"/>
        <v>0.4766666667</v>
      </c>
      <c r="DJ37" s="15">
        <v>28.6</v>
      </c>
      <c r="DK37" s="15">
        <v>0.0</v>
      </c>
      <c r="DL37" s="15">
        <v>0.0</v>
      </c>
      <c r="DM37" s="15">
        <v>1.0</v>
      </c>
      <c r="DN37" s="15">
        <v>0.0</v>
      </c>
      <c r="DO37" s="15">
        <v>0.0</v>
      </c>
      <c r="DP37" s="15">
        <v>0.0</v>
      </c>
      <c r="DQ37" s="15">
        <v>1.0</v>
      </c>
      <c r="DR37" s="15">
        <v>0.0</v>
      </c>
      <c r="DS37" s="15" t="s">
        <v>222</v>
      </c>
      <c r="DT37" s="15">
        <v>0.0</v>
      </c>
      <c r="DU37" s="15" t="s">
        <v>222</v>
      </c>
      <c r="DV37" s="15">
        <v>0.0</v>
      </c>
      <c r="DW37" s="15" t="s">
        <v>222</v>
      </c>
      <c r="DX37" s="15">
        <v>0.0</v>
      </c>
      <c r="DY37" s="15" t="s">
        <v>222</v>
      </c>
      <c r="DZ37" s="15">
        <v>0.0</v>
      </c>
      <c r="EA37" s="15">
        <v>0.0</v>
      </c>
      <c r="EB37" s="15">
        <v>0.0</v>
      </c>
      <c r="EC37" s="15">
        <v>0.0</v>
      </c>
      <c r="ED37" s="15">
        <v>0.0</v>
      </c>
      <c r="EE37" s="15" t="s">
        <v>222</v>
      </c>
      <c r="EF37" s="15" t="s">
        <v>222</v>
      </c>
      <c r="EG37" s="15">
        <v>0.0</v>
      </c>
      <c r="EH37" s="15" t="s">
        <v>222</v>
      </c>
      <c r="EI37" s="15">
        <v>1.0</v>
      </c>
      <c r="EJ37" s="16">
        <v>45198.0</v>
      </c>
      <c r="EK37" s="16">
        <v>45204.0</v>
      </c>
      <c r="EL37" s="15">
        <f>EK37-EJ37</f>
        <v>6</v>
      </c>
      <c r="EM37" s="15">
        <v>1.0</v>
      </c>
      <c r="EN37" s="15">
        <v>0.0</v>
      </c>
      <c r="EO37" s="15" t="s">
        <v>222</v>
      </c>
      <c r="EP37" s="15" t="s">
        <v>222</v>
      </c>
      <c r="EQ37" s="15" t="s">
        <v>222</v>
      </c>
      <c r="ER37" s="16">
        <v>45198.0</v>
      </c>
      <c r="ES37" s="16">
        <v>45221.0</v>
      </c>
      <c r="ET37" s="15">
        <f t="shared" si="11"/>
        <v>3</v>
      </c>
      <c r="EU37" s="15">
        <f t="shared" si="43"/>
        <v>23</v>
      </c>
      <c r="EV37" s="16">
        <v>45208.0</v>
      </c>
      <c r="EW37" s="15">
        <f t="shared" si="13"/>
        <v>13</v>
      </c>
      <c r="EX37" s="15">
        <v>1.0</v>
      </c>
      <c r="EY37" s="15">
        <v>0.0</v>
      </c>
      <c r="EZ37" s="15">
        <v>0.0</v>
      </c>
      <c r="FA37" s="15">
        <v>0.0</v>
      </c>
      <c r="FB37" s="15" t="s">
        <v>222</v>
      </c>
      <c r="FC37" s="20">
        <v>45253.0</v>
      </c>
      <c r="FD37" s="15" t="s">
        <v>222</v>
      </c>
      <c r="FE37" s="15" t="s">
        <v>222</v>
      </c>
      <c r="FF37" s="16" t="str">
        <f>FE37-G37</f>
        <v>#VALUE!</v>
      </c>
      <c r="FG37" s="15" t="s">
        <v>222</v>
      </c>
      <c r="FH37" s="15">
        <v>0.0</v>
      </c>
      <c r="FI37" s="15" t="s">
        <v>222</v>
      </c>
      <c r="FJ37" s="15" t="s">
        <v>222</v>
      </c>
      <c r="FK37" s="15">
        <f t="shared" si="15"/>
        <v>59</v>
      </c>
      <c r="FL37" s="15">
        <v>1.0</v>
      </c>
      <c r="FM37" s="15">
        <v>0.0</v>
      </c>
      <c r="FN37" s="16">
        <v>45211.0</v>
      </c>
      <c r="FO37" s="15">
        <f>FN37-G37</f>
        <v>16</v>
      </c>
      <c r="FP37" s="15">
        <v>1.0</v>
      </c>
      <c r="FQ37" s="15" t="s">
        <v>365</v>
      </c>
      <c r="FR37" s="16">
        <v>45209.0</v>
      </c>
      <c r="FS37" s="15">
        <f t="shared" si="32"/>
        <v>14</v>
      </c>
      <c r="FT37" s="15">
        <v>0.0</v>
      </c>
      <c r="FU37" s="15">
        <v>10.0</v>
      </c>
      <c r="FV37" s="15">
        <v>2.0</v>
      </c>
      <c r="FW37" s="15">
        <v>0.0</v>
      </c>
      <c r="FX37" s="15" t="s">
        <v>300</v>
      </c>
      <c r="FY37" s="15">
        <v>18.0</v>
      </c>
      <c r="FZ37" s="15">
        <v>0.9</v>
      </c>
      <c r="GA37" s="15">
        <v>37.1</v>
      </c>
      <c r="GB37" s="15">
        <v>5.3</v>
      </c>
      <c r="GC37" s="15">
        <v>98.0</v>
      </c>
      <c r="GD37" s="15">
        <v>10.0</v>
      </c>
      <c r="GE37" s="15">
        <v>14.4</v>
      </c>
      <c r="GF37" s="15"/>
      <c r="GG37" s="15">
        <f t="shared" si="20"/>
        <v>1</v>
      </c>
      <c r="GH37" s="15">
        <v>66.6</v>
      </c>
      <c r="GI37" s="15">
        <v>1.04</v>
      </c>
      <c r="GJ37" s="15">
        <v>5.9</v>
      </c>
      <c r="GK37" s="15">
        <v>35.7</v>
      </c>
      <c r="GL37" s="15">
        <v>0.9</v>
      </c>
      <c r="GM37" s="15"/>
      <c r="GN37" s="15"/>
      <c r="GO37" s="15"/>
      <c r="GP37" s="16">
        <v>45240.0</v>
      </c>
      <c r="GQ37" s="15">
        <v>66.6</v>
      </c>
      <c r="GR37" s="15">
        <v>1.04</v>
      </c>
      <c r="GS37" s="15">
        <v>5.9</v>
      </c>
      <c r="GT37" s="15">
        <v>35.7</v>
      </c>
      <c r="GU37" s="15">
        <v>0.9</v>
      </c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>
        <v>45.2</v>
      </c>
      <c r="HG37" s="15">
        <v>66.3</v>
      </c>
      <c r="HH37" s="15">
        <v>47.4</v>
      </c>
      <c r="HI37" s="15">
        <v>16.4</v>
      </c>
      <c r="HJ37" s="15">
        <v>11.0</v>
      </c>
      <c r="HK37" s="15" t="s">
        <v>301</v>
      </c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</row>
    <row r="38" ht="15.75" customHeight="1">
      <c r="A38" s="27" t="s">
        <v>218</v>
      </c>
      <c r="B38" s="15" t="s">
        <v>671</v>
      </c>
      <c r="C38" s="15">
        <v>1963641.0</v>
      </c>
      <c r="D38" s="16">
        <v>16025.0</v>
      </c>
      <c r="E38" s="16">
        <v>45621.0</v>
      </c>
      <c r="F38" s="15"/>
      <c r="G38" s="16">
        <v>45622.0</v>
      </c>
      <c r="H38" s="15">
        <f t="shared" si="1"/>
        <v>81.08767123</v>
      </c>
      <c r="I38" s="15">
        <v>1.0</v>
      </c>
      <c r="J38" s="15"/>
      <c r="K38" s="15">
        <v>0.0</v>
      </c>
      <c r="L38" s="15">
        <v>63.0</v>
      </c>
      <c r="M38" s="15">
        <v>1.65</v>
      </c>
      <c r="N38" s="17">
        <f t="shared" si="3"/>
        <v>23.14049587</v>
      </c>
      <c r="O38" s="15">
        <v>3.0</v>
      </c>
      <c r="P38" s="15" t="s">
        <v>672</v>
      </c>
      <c r="Q38" s="15">
        <v>1.0</v>
      </c>
      <c r="R38" s="15">
        <v>0.0</v>
      </c>
      <c r="S38" s="15" t="s">
        <v>222</v>
      </c>
      <c r="T38" s="15">
        <v>0.0</v>
      </c>
      <c r="U38" s="15">
        <v>0.0</v>
      </c>
      <c r="V38" s="15">
        <v>0.0</v>
      </c>
      <c r="W38" s="15">
        <v>1.0</v>
      </c>
      <c r="X38" s="18">
        <v>0.5180555555555556</v>
      </c>
      <c r="Y38" s="18">
        <v>0.7277777777777777</v>
      </c>
      <c r="Z38" s="19">
        <f t="shared" si="4"/>
        <v>0.2097222222</v>
      </c>
      <c r="AA38" s="18">
        <f t="shared" si="5"/>
        <v>302</v>
      </c>
      <c r="AB38" s="15">
        <v>2.0</v>
      </c>
      <c r="AC38" s="15">
        <v>0.0</v>
      </c>
      <c r="AD38" s="15" t="s">
        <v>222</v>
      </c>
      <c r="AE38" s="15" t="s">
        <v>222</v>
      </c>
      <c r="AF38" s="15">
        <v>0.0</v>
      </c>
      <c r="AG38" s="15" t="s">
        <v>224</v>
      </c>
      <c r="AH38" s="15" t="s">
        <v>673</v>
      </c>
      <c r="AI38" s="15">
        <v>0.0</v>
      </c>
      <c r="AJ38" s="15">
        <v>1.0</v>
      </c>
      <c r="AK38" s="15">
        <v>1.0</v>
      </c>
      <c r="AL38" s="15">
        <v>0.0</v>
      </c>
      <c r="AM38" s="15">
        <v>1.0</v>
      </c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>
        <v>1.0</v>
      </c>
      <c r="CD38" s="15" t="s">
        <v>224</v>
      </c>
      <c r="CE38" s="15">
        <v>1.0</v>
      </c>
      <c r="CF38" s="15" t="s">
        <v>228</v>
      </c>
      <c r="CG38" s="15">
        <v>19.0</v>
      </c>
      <c r="CH38" s="15">
        <v>10.9</v>
      </c>
      <c r="CI38" s="15" t="s">
        <v>674</v>
      </c>
      <c r="CJ38" s="15"/>
      <c r="CK38" s="15">
        <v>1.0</v>
      </c>
      <c r="CL38" s="15"/>
      <c r="CM38" s="15"/>
      <c r="CN38" s="15"/>
      <c r="CO38" s="15"/>
      <c r="CP38" s="15">
        <v>400.0</v>
      </c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30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>
        <v>0.0</v>
      </c>
      <c r="FU38" s="15">
        <v>5.0</v>
      </c>
      <c r="FV38" s="15">
        <v>2.0</v>
      </c>
      <c r="FW38" s="15">
        <v>0.0</v>
      </c>
      <c r="FX38" s="15"/>
      <c r="FY38" s="15"/>
      <c r="FZ38" s="15" t="s">
        <v>222</v>
      </c>
      <c r="GA38" s="15">
        <v>36.2</v>
      </c>
      <c r="GB38" s="15">
        <v>7.5</v>
      </c>
      <c r="GC38" s="15">
        <v>54.0</v>
      </c>
      <c r="GD38" s="15">
        <v>5.0</v>
      </c>
      <c r="GE38" s="15">
        <v>16.7</v>
      </c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2024-12-04T08:47:14Z</dcterms:created>
  <dc:creator>REGENET Nicolas</dc:creator>
</cp:coreProperties>
</file>